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rreouisedu-my.sharepoint.com/personal/diego_montiel_correo_uis_edu_co/Documents/Programacion/Power BI/Mis Finanzas/"/>
    </mc:Choice>
  </mc:AlternateContent>
  <xr:revisionPtr revIDLastSave="1433" documentId="8_{AF07EBDA-425A-472D-B0BC-B83502E80165}" xr6:coauthVersionLast="47" xr6:coauthVersionMax="47" xr10:uidLastSave="{C05A65DB-DE8B-40CD-A9F7-61F9219A9194}"/>
  <bookViews>
    <workbookView xWindow="-120" yWindow="-120" windowWidth="20730" windowHeight="11160" activeTab="2" xr2:uid="{8D05C15F-D125-44C6-9212-7BBC9E48C444}"/>
  </bookViews>
  <sheets>
    <sheet name="Inicio" sheetId="1" r:id="rId1"/>
    <sheet name="Guia" sheetId="4" r:id="rId2"/>
    <sheet name="Registros" sheetId="3" r:id="rId3"/>
    <sheet name="Tablas Auxiliares" sheetId="2" r:id="rId4"/>
  </sheets>
  <definedNames>
    <definedName name="Alimentos">'Tablas Auxiliares'!$C$7:$G$7</definedName>
    <definedName name="Atencion_Medica">'Tablas Auxiliares'!$C$9:$F$9</definedName>
    <definedName name="Categoria">Inicio!$C$7</definedName>
    <definedName name="Cuidado_personal">'Tablas Auxiliares'!$C$11:$G$11</definedName>
    <definedName name="Entidades">'Tablas Auxiliares'!$B$23:$B$25</definedName>
    <definedName name="Entretenimiento">'Tablas Auxiliares'!$C$12:$G$12</definedName>
    <definedName name="Finca">'Tablas Auxiliares'!$C$14:$E$14</definedName>
    <definedName name="Gastos">'Tablas Auxiliares'!$B$6:$B$15</definedName>
    <definedName name="Gastos_Varios">'Tablas Auxiliares'!$C$13:$F$13</definedName>
    <definedName name="Ingresos">'Tablas Auxiliares'!$B$19:$B$20</definedName>
    <definedName name="Obligaciones_Financieras">'Tablas Auxiliares'!$C$8:$G$8</definedName>
    <definedName name="Relativos_a_la_casa">'Tablas Auxiliares'!$C$6:$K$6</definedName>
    <definedName name="Sueldo">'Tablas Auxiliares'!$C$19:$I$19</definedName>
    <definedName name="T_Categoria">'Tablas Auxiliares'!$B$2:$B$3</definedName>
    <definedName name="Tipo">Inicio!$C$5</definedName>
    <definedName name="Transporte">'Tablas Auxiliares'!$C$10:$K$10</definedName>
    <definedName name="Trasferencias_Gasto">'Tablas Auxiliares'!$C$15:$E$15</definedName>
    <definedName name="Trasferencias_Ingreso">'Tablas Auxiliares'!$C$20:$E$20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1" l="1"/>
  <c r="F7" i="1"/>
  <c r="F13" i="1"/>
</calcChain>
</file>

<file path=xl/sharedStrings.xml><?xml version="1.0" encoding="utf-8"?>
<sst xmlns="http://schemas.openxmlformats.org/spreadsheetml/2006/main" count="469" uniqueCount="141">
  <si>
    <t>Fecha</t>
  </si>
  <si>
    <t xml:space="preserve">Concepto </t>
  </si>
  <si>
    <t>Entidad</t>
  </si>
  <si>
    <t>Egreso</t>
  </si>
  <si>
    <t xml:space="preserve">Tipo de Categoria </t>
  </si>
  <si>
    <t>#</t>
  </si>
  <si>
    <t xml:space="preserve">Hipoteca </t>
  </si>
  <si>
    <t xml:space="preserve">Electricidad </t>
  </si>
  <si>
    <t>Agua</t>
  </si>
  <si>
    <t>gas</t>
  </si>
  <si>
    <t>Internet</t>
  </si>
  <si>
    <t xml:space="preserve">Administración </t>
  </si>
  <si>
    <t>Reparaciones</t>
  </si>
  <si>
    <t xml:space="preserve">Mantenimientos </t>
  </si>
  <si>
    <t>Restaurantes</t>
  </si>
  <si>
    <t>Tienda de barrio</t>
  </si>
  <si>
    <t>Plaza de mercado</t>
  </si>
  <si>
    <t xml:space="preserve">Supermercado </t>
  </si>
  <si>
    <t>Suplementos</t>
  </si>
  <si>
    <t>Cuota de manejo</t>
  </si>
  <si>
    <t xml:space="preserve">Prestamos </t>
  </si>
  <si>
    <t>Funerarios</t>
  </si>
  <si>
    <t xml:space="preserve">CDT </t>
  </si>
  <si>
    <t xml:space="preserve">Deducciones de nomina </t>
  </si>
  <si>
    <t>Medicamentos</t>
  </si>
  <si>
    <t>Consultas</t>
  </si>
  <si>
    <t>Transporte</t>
  </si>
  <si>
    <t>Bus</t>
  </si>
  <si>
    <t>Uber</t>
  </si>
  <si>
    <t>Gasolina</t>
  </si>
  <si>
    <t>Ahorro mensual</t>
  </si>
  <si>
    <t>Taxis</t>
  </si>
  <si>
    <t>Clobi</t>
  </si>
  <si>
    <t>Parqueadero</t>
  </si>
  <si>
    <t xml:space="preserve">GMY </t>
  </si>
  <si>
    <t>Ropa</t>
  </si>
  <si>
    <t xml:space="preserve">de Tocador </t>
  </si>
  <si>
    <t>Salidas</t>
  </si>
  <si>
    <t>Caminatas</t>
  </si>
  <si>
    <t>Plataformas</t>
  </si>
  <si>
    <t>Visitas</t>
  </si>
  <si>
    <t xml:space="preserve">Cumpleaños </t>
  </si>
  <si>
    <t>Donaciones</t>
  </si>
  <si>
    <t>Celebraciones</t>
  </si>
  <si>
    <t>Regalos</t>
  </si>
  <si>
    <t>Finca</t>
  </si>
  <si>
    <t xml:space="preserve">A efectivo </t>
  </si>
  <si>
    <t>A cuentas Propias</t>
  </si>
  <si>
    <t>A otras cuentas</t>
  </si>
  <si>
    <t>Sueldo</t>
  </si>
  <si>
    <t>Auxilios</t>
  </si>
  <si>
    <t xml:space="preserve">Bonos </t>
  </si>
  <si>
    <t>Escalas</t>
  </si>
  <si>
    <t>Intereses</t>
  </si>
  <si>
    <t>Cuota de alimentos</t>
  </si>
  <si>
    <t>Salario</t>
  </si>
  <si>
    <t xml:space="preserve">Pagos </t>
  </si>
  <si>
    <t>De Efectivo</t>
  </si>
  <si>
    <t>De cuentas propias</t>
  </si>
  <si>
    <t>De otras cuentas</t>
  </si>
  <si>
    <t>Entidades</t>
  </si>
  <si>
    <t>Itau</t>
  </si>
  <si>
    <t>Nequi</t>
  </si>
  <si>
    <t xml:space="preserve">Efectivo </t>
  </si>
  <si>
    <t>Categotia</t>
  </si>
  <si>
    <t>Gastos</t>
  </si>
  <si>
    <t>Ingresos</t>
  </si>
  <si>
    <t>Alimentos</t>
  </si>
  <si>
    <t>Entretenimiento</t>
  </si>
  <si>
    <t>Relativos_a_la_casa</t>
  </si>
  <si>
    <t>Obligaciones_Financieras</t>
  </si>
  <si>
    <t>Atencion_Medica</t>
  </si>
  <si>
    <t>Cuidado_personal</t>
  </si>
  <si>
    <t>Gastos_Varios</t>
  </si>
  <si>
    <t>SubCategoria</t>
  </si>
  <si>
    <t>Fecha de Registro</t>
  </si>
  <si>
    <t xml:space="preserve">Valor </t>
  </si>
  <si>
    <t xml:space="preserve">Ingreso </t>
  </si>
  <si>
    <t>Registro de Cuenta</t>
  </si>
  <si>
    <t>Trasferencias_Ingreso</t>
  </si>
  <si>
    <t>Trasferencias_Gasto</t>
  </si>
  <si>
    <t>Lista  #1</t>
  </si>
  <si>
    <t>Relativos a la casa</t>
  </si>
  <si>
    <t xml:space="preserve">Alimentos </t>
  </si>
  <si>
    <t>Obligaciones Financieras</t>
  </si>
  <si>
    <t>Cuidado personal</t>
  </si>
  <si>
    <t xml:space="preserve">Entretenimiento </t>
  </si>
  <si>
    <t>Gastos Varios</t>
  </si>
  <si>
    <t>Trasferencias</t>
  </si>
  <si>
    <t xml:space="preserve">Ingresos </t>
  </si>
  <si>
    <t>Trasporte oficina seguro</t>
  </si>
  <si>
    <t>entrevista-casa-terminal</t>
  </si>
  <si>
    <t>Servicio de salud Nona</t>
  </si>
  <si>
    <t>Vacaciones</t>
  </si>
  <si>
    <t>Atención Medica</t>
  </si>
  <si>
    <t>Telefonía</t>
  </si>
  <si>
    <t>Tarjeta de Crédito</t>
  </si>
  <si>
    <t>Peluquería</t>
  </si>
  <si>
    <t>Exámenes</t>
  </si>
  <si>
    <t>Artículos</t>
  </si>
  <si>
    <t>Milicia</t>
  </si>
  <si>
    <t xml:space="preserve">Proceso de incorporación </t>
  </si>
  <si>
    <t xml:space="preserve">Categoría Tipo 2: Ingresos </t>
  </si>
  <si>
    <t>Itaú</t>
  </si>
  <si>
    <t xml:space="preserve">Tipo de Categoría </t>
  </si>
  <si>
    <t>Categoría Tipo 1: Gastos</t>
  </si>
  <si>
    <t>Pago pasajes</t>
  </si>
  <si>
    <t>Retiro pago mama</t>
  </si>
  <si>
    <t>Acueducto- Enero</t>
  </si>
  <si>
    <t>Pago acueducto</t>
  </si>
  <si>
    <t>Pago Salud Nona</t>
  </si>
  <si>
    <t xml:space="preserve">Almuerzo-entrevista </t>
  </si>
  <si>
    <t>Almierzo-Entrevista</t>
  </si>
  <si>
    <t>Ninguno</t>
  </si>
  <si>
    <t>Mes Enero</t>
  </si>
  <si>
    <t>Valeria</t>
  </si>
  <si>
    <t>mi celular</t>
  </si>
  <si>
    <t>couta de aliemtos</t>
  </si>
  <si>
    <t>nona</t>
  </si>
  <si>
    <t>Nona</t>
  </si>
  <si>
    <t>Enero</t>
  </si>
  <si>
    <t>Pago Nona</t>
  </si>
  <si>
    <t>Prestamo a un amigo</t>
  </si>
  <si>
    <t>De mi madre</t>
  </si>
  <si>
    <t>Telefonia</t>
  </si>
  <si>
    <t>Compra Andes 22</t>
  </si>
  <si>
    <t>No recuerdo</t>
  </si>
  <si>
    <t>prestamo</t>
  </si>
  <si>
    <t>no recuerdo</t>
  </si>
  <si>
    <t>Mes Febrero</t>
  </si>
  <si>
    <t>sin efectivo</t>
  </si>
  <si>
    <t>Uber drive</t>
  </si>
  <si>
    <t>Couta alimetos</t>
  </si>
  <si>
    <t>Interes nequi</t>
  </si>
  <si>
    <t>Uber Diver</t>
  </si>
  <si>
    <t xml:space="preserve">Uber Dive </t>
  </si>
  <si>
    <t>administracion</t>
  </si>
  <si>
    <t>Febrero</t>
  </si>
  <si>
    <t>Uber Drive</t>
  </si>
  <si>
    <t>Manji y motor</t>
  </si>
  <si>
    <t>Enero-Ferero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</si>
</sst>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1" applyNumberFormat="1" applyFont="1" applyFill="1" applyBorder="1" applyAlignment="1">
      <alignment horizontal="left" vertical="center"/>
    </xf>
    <xf numFmtId="0" fontId="0" fillId="2" borderId="0" xfId="0" applyFill="1"/>
    <xf numFmtId="0" fontId="0" fillId="3" borderId="0" xfId="0" applyFill="1"/>
    <xf numFmtId="14" fontId="0" fillId="3" borderId="0" xfId="0" applyNumberFormat="1" applyFill="1"/>
    <xf numFmtId="14" fontId="0" fillId="0" borderId="0" xfId="0" applyNumberFormat="1"/>
    <xf numFmtId="22" fontId="0" fillId="0" borderId="0" xfId="0" applyNumberFormat="1"/>
    <xf numFmtId="44" fontId="0" fillId="3" borderId="0" xfId="2" applyFont="1" applyFill="1"/>
    <xf numFmtId="0" fontId="4" fillId="5" borderId="0" xfId="0" applyFont="1" applyFill="1"/>
    <xf numFmtId="22" fontId="4" fillId="5" borderId="0" xfId="0" applyNumberFormat="1" applyFont="1" applyFill="1"/>
    <xf numFmtId="7" fontId="0" fillId="0" borderId="0" xfId="0" applyNumberFormat="1"/>
    <xf numFmtId="44" fontId="4" fillId="5" borderId="0" xfId="2" applyFont="1" applyFill="1"/>
    <xf numFmtId="0" fontId="0" fillId="7" borderId="0" xfId="0" applyFill="1"/>
    <xf numFmtId="0" fontId="0" fillId="0" borderId="0" xfId="1" applyNumberFormat="1" applyFont="1" applyBorder="1" applyAlignment="1">
      <alignment horizontal="left" vertical="center"/>
    </xf>
    <xf numFmtId="42" fontId="0" fillId="0" borderId="0" xfId="1" applyFont="1" applyBorder="1" applyAlignment="1">
      <alignment horizontal="left" vertical="center"/>
    </xf>
    <xf numFmtId="0" fontId="0" fillId="8" borderId="0" xfId="0" applyFill="1"/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5" fillId="6" borderId="0" xfId="0" applyFont="1" applyFill="1" applyAlignment="1">
      <alignment horizontal="center"/>
    </xf>
    <xf numFmtId="0" fontId="6" fillId="0" borderId="0" xfId="0" applyFont="1" applyAlignment="1">
      <alignment horizontal="center"/>
    </xf>
  </cellXfs>
  <cellStyles count="3">
    <cellStyle name="Moneda" xfId="2" builtinId="4"/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13</xdr:row>
      <xdr:rowOff>76200</xdr:rowOff>
    </xdr:from>
    <xdr:to>
      <xdr:col>2</xdr:col>
      <xdr:colOff>1181100</xdr:colOff>
      <xdr:row>15</xdr:row>
      <xdr:rowOff>114300</xdr:rowOff>
    </xdr:to>
    <xdr:sp macro="[0]!DatosATabl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C3ACF8-ABF2-6981-B65F-7D13D85720DE}"/>
            </a:ext>
          </a:extLst>
        </xdr:cNvPr>
        <xdr:cNvSpPr/>
      </xdr:nvSpPr>
      <xdr:spPr>
        <a:xfrm>
          <a:off x="619125" y="2552700"/>
          <a:ext cx="2143125" cy="4191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solidFill>
                <a:schemeClr val="tx1"/>
              </a:solidFill>
              <a:latin typeface="Arial Nova Cond Light" panose="020B0604020202020204" pitchFamily="34" charset="0"/>
            </a:rPr>
            <a:t>Registrar</a:t>
          </a:r>
        </a:p>
      </xdr:txBody>
    </xdr:sp>
    <xdr:clientData/>
  </xdr:twoCellAnchor>
  <xdr:twoCellAnchor>
    <xdr:from>
      <xdr:col>4</xdr:col>
      <xdr:colOff>190500</xdr:colOff>
      <xdr:row>13</xdr:row>
      <xdr:rowOff>85725</xdr:rowOff>
    </xdr:from>
    <xdr:to>
      <xdr:col>5</xdr:col>
      <xdr:colOff>1162050</xdr:colOff>
      <xdr:row>15</xdr:row>
      <xdr:rowOff>123825</xdr:rowOff>
    </xdr:to>
    <xdr:sp macro="[0]!BorrarDat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5ECB998-E66B-4E57-9FDE-FEB18B3F399E}"/>
            </a:ext>
          </a:extLst>
        </xdr:cNvPr>
        <xdr:cNvSpPr/>
      </xdr:nvSpPr>
      <xdr:spPr>
        <a:xfrm>
          <a:off x="4105275" y="2562225"/>
          <a:ext cx="2143125" cy="4191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solidFill>
                <a:schemeClr val="tx1"/>
              </a:solidFill>
              <a:latin typeface="Arial Nova Cond Light" panose="020B0604020202020204" pitchFamily="34" charset="0"/>
            </a:rPr>
            <a:t>Borrar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39E5F5-C9DC-4CA5-B48E-8E224B672A65}" name="Registro" displayName="Registro" ref="A1:J59" totalsRowShown="0">
  <autoFilter ref="A1:J59" xr:uid="{F939E5F5-C9DC-4CA5-B48E-8E224B672A65}"/>
  <sortState xmlns:xlrd2="http://schemas.microsoft.com/office/spreadsheetml/2017/richdata2" ref="A2:J59">
    <sortCondition descending="1" ref="A1:A59"/>
  </sortState>
  <tableColumns count="10">
    <tableColumn id="1" xr3:uid="{71A3391F-B88A-4A82-8F3E-D04CF910BAF6}" name="Fecha"/>
    <tableColumn id="2" xr3:uid="{90396A7B-6FC3-4106-84C4-C389479024A6}" name="Fecha de Registro"/>
    <tableColumn id="3" xr3:uid="{BEB24D31-2B8F-4EA5-BF57-CF14B5C7671A}" name="Tipo de Categoria "/>
    <tableColumn id="4" xr3:uid="{0EA73A48-539D-4B88-9BD2-BFE5CFA17019}" name="Categotia"/>
    <tableColumn id="5" xr3:uid="{84CEB936-7949-4903-8AD5-B61CAA6D5DF7}" name="SubCategoria"/>
    <tableColumn id="6" xr3:uid="{C50E6695-D49D-4667-A8BB-E0182C808CA2}" name="Entidad"/>
    <tableColumn id="7" xr3:uid="{989D30E4-436C-4505-9CE8-C1A35B6C7304}" name="Concepto "/>
    <tableColumn id="8" xr3:uid="{590BAB94-09E0-43F6-B471-22990D46BEE9}" name="Egreso"/>
    <tableColumn id="9" xr3:uid="{B1ACC216-1878-45A8-AA6A-F3777BF9EBB8}" name="Ingreso "/>
    <tableColumn id="10" xr3:uid="{D256FEA6-51D6-48FA-A11B-894E4F78B670}" name="Valor 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697ED-A2A3-4AE4-8B9F-CE59B7EAE069}">
  <sheetPr codeName="Hoja1"/>
  <dimension ref="A1:G46"/>
  <sheetViews>
    <sheetView showGridLines="0" showRowColHeaders="0" workbookViewId="0">
      <selection activeCell="F11" sqref="F11"/>
    </sheetView>
  </sheetViews>
  <sheetFormatPr baseColWidth="10" defaultColWidth="0" defaultRowHeight="15" zeroHeight="1" x14ac:dyDescent="0.25"/>
  <cols>
    <col min="1" max="1" width="6.5703125" customWidth="1"/>
    <col min="2" max="2" width="17.140625" customWidth="1"/>
    <col min="3" max="3" width="23.5703125" customWidth="1"/>
    <col min="4" max="4" width="11.42578125" customWidth="1"/>
    <col min="5" max="5" width="17.5703125" bestFit="1" customWidth="1"/>
    <col min="6" max="6" width="20.28515625" bestFit="1" customWidth="1"/>
    <col min="7" max="7" width="5.42578125" customWidth="1"/>
    <col min="8" max="16384" width="11.42578125" hidden="1"/>
  </cols>
  <sheetData>
    <row r="1" spans="2:6" x14ac:dyDescent="0.25"/>
    <row r="2" spans="2:6" x14ac:dyDescent="0.25"/>
    <row r="3" spans="2:6" x14ac:dyDescent="0.25">
      <c r="B3" s="19" t="s">
        <v>78</v>
      </c>
      <c r="C3" s="19"/>
      <c r="D3" s="19"/>
      <c r="E3" s="19"/>
      <c r="F3" s="19"/>
    </row>
    <row r="4" spans="2:6" x14ac:dyDescent="0.25"/>
    <row r="5" spans="2:6" x14ac:dyDescent="0.25">
      <c r="B5" s="5" t="s">
        <v>4</v>
      </c>
      <c r="C5" s="6"/>
      <c r="E5" s="5" t="s">
        <v>76</v>
      </c>
      <c r="F5" s="10"/>
    </row>
    <row r="6" spans="2:6" x14ac:dyDescent="0.25"/>
    <row r="7" spans="2:6" x14ac:dyDescent="0.25">
      <c r="B7" s="5" t="s">
        <v>64</v>
      </c>
      <c r="C7" s="6"/>
      <c r="E7" s="11" t="s">
        <v>3</v>
      </c>
      <c r="F7" s="14">
        <f>IF(Tipo="Gastos",F5,0)</f>
        <v>0</v>
      </c>
    </row>
    <row r="8" spans="2:6" x14ac:dyDescent="0.25">
      <c r="E8" s="11"/>
      <c r="F8" s="14"/>
    </row>
    <row r="9" spans="2:6" x14ac:dyDescent="0.25">
      <c r="B9" s="5" t="s">
        <v>74</v>
      </c>
      <c r="C9" s="6"/>
      <c r="E9" s="11" t="s">
        <v>77</v>
      </c>
      <c r="F9" s="14">
        <f>IF(Tipo="Ingresos",F5,0)</f>
        <v>0</v>
      </c>
    </row>
    <row r="10" spans="2:6" x14ac:dyDescent="0.25"/>
    <row r="11" spans="2:6" x14ac:dyDescent="0.25">
      <c r="B11" s="5" t="s">
        <v>2</v>
      </c>
      <c r="C11" s="6"/>
      <c r="E11" s="5" t="s">
        <v>0</v>
      </c>
      <c r="F11" s="7"/>
    </row>
    <row r="12" spans="2:6" x14ac:dyDescent="0.25"/>
    <row r="13" spans="2:6" x14ac:dyDescent="0.25">
      <c r="B13" s="5" t="s">
        <v>1</v>
      </c>
      <c r="C13" s="6"/>
      <c r="E13" s="11" t="s">
        <v>75</v>
      </c>
      <c r="F13" s="12">
        <f ca="1">NOW()</f>
        <v>44993.63113854167</v>
      </c>
    </row>
    <row r="14" spans="2:6" x14ac:dyDescent="0.25"/>
    <row r="15" spans="2:6" x14ac:dyDescent="0.25">
      <c r="B15" s="20"/>
      <c r="C15" s="20"/>
      <c r="D15" s="20"/>
      <c r="E15" s="20"/>
      <c r="F15" s="20"/>
    </row>
    <row r="16" spans="2:6" x14ac:dyDescent="0.25"/>
    <row r="17" customFormat="1" hidden="1" x14ac:dyDescent="0.25"/>
    <row r="18" customFormat="1" hidden="1" x14ac:dyDescent="0.25"/>
    <row r="19" customFormat="1" hidden="1" x14ac:dyDescent="0.25"/>
    <row r="20" customFormat="1" hidden="1" x14ac:dyDescent="0.25"/>
    <row r="21" customFormat="1" hidden="1" x14ac:dyDescent="0.25"/>
    <row r="22" customFormat="1" hidden="1" x14ac:dyDescent="0.25"/>
    <row r="23" customFormat="1" hidden="1" x14ac:dyDescent="0.25"/>
    <row r="24" customFormat="1" hidden="1" x14ac:dyDescent="0.25"/>
    <row r="25" customFormat="1" hidden="1" x14ac:dyDescent="0.25"/>
    <row r="26" customFormat="1" hidden="1" x14ac:dyDescent="0.25"/>
    <row r="27" customFormat="1" hidden="1" x14ac:dyDescent="0.25"/>
    <row r="28" customFormat="1" hidden="1" x14ac:dyDescent="0.25"/>
    <row r="29" customFormat="1" hidden="1" x14ac:dyDescent="0.25"/>
    <row r="30" customFormat="1" hidden="1" x14ac:dyDescent="0.25"/>
    <row r="31" customFormat="1" hidden="1" x14ac:dyDescent="0.25"/>
    <row r="32" customFormat="1" hidden="1" x14ac:dyDescent="0.25"/>
    <row r="33" customFormat="1" hidden="1" x14ac:dyDescent="0.25"/>
    <row r="34" customFormat="1" hidden="1" x14ac:dyDescent="0.25"/>
    <row r="35" customFormat="1" hidden="1" x14ac:dyDescent="0.25"/>
    <row r="36" customFormat="1" hidden="1" x14ac:dyDescent="0.25"/>
    <row r="37" customFormat="1" hidden="1" x14ac:dyDescent="0.25"/>
    <row r="38" customFormat="1" hidden="1" x14ac:dyDescent="0.25"/>
    <row r="39" customFormat="1" hidden="1" x14ac:dyDescent="0.25"/>
    <row r="40" customFormat="1" hidden="1" x14ac:dyDescent="0.25"/>
    <row r="41" customFormat="1" hidden="1" x14ac:dyDescent="0.25"/>
    <row r="42" customFormat="1" hidden="1" x14ac:dyDescent="0.25"/>
    <row r="43" customFormat="1" hidden="1" x14ac:dyDescent="0.25"/>
    <row r="44" customFormat="1" hidden="1" x14ac:dyDescent="0.25"/>
    <row r="45" customFormat="1" hidden="1" x14ac:dyDescent="0.25"/>
    <row r="46" customFormat="1" hidden="1" x14ac:dyDescent="0.25"/>
  </sheetData>
  <mergeCells count="2">
    <mergeCell ref="B3:F3"/>
    <mergeCell ref="B15:F15"/>
  </mergeCells>
  <dataValidations count="4">
    <dataValidation type="list" allowBlank="1" showInputMessage="1" showErrorMessage="1" sqref="C5" xr:uid="{AD008077-A295-436C-81FB-3E45641CD3DD}">
      <formula1>T_Categoria</formula1>
    </dataValidation>
    <dataValidation type="list" allowBlank="1" showInputMessage="1" showErrorMessage="1" sqref="C7" xr:uid="{C9564CFD-EB0D-4D09-833F-61D50AAC1B2A}">
      <formula1>INDIRECT(Tipo)</formula1>
    </dataValidation>
    <dataValidation type="list" allowBlank="1" showInputMessage="1" showErrorMessage="1" sqref="C11" xr:uid="{46E76FFE-8EE3-4260-A9F0-AA8584339AE7}">
      <formula1>Entidades</formula1>
    </dataValidation>
    <dataValidation type="list" allowBlank="1" showInputMessage="1" showErrorMessage="1" sqref="C9" xr:uid="{54368696-05BB-4B2F-A0A8-2A90BFF6947B}">
      <formula1>INDIRECT(Categoria)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20CD9-8ADE-490A-BC2A-C22B3D9F6666}">
  <dimension ref="A1:Q25"/>
  <sheetViews>
    <sheetView showGridLines="0" showRowColHeaders="0" workbookViewId="0">
      <selection activeCell="L18" sqref="L18:L24"/>
    </sheetView>
  </sheetViews>
  <sheetFormatPr baseColWidth="10" defaultColWidth="0" defaultRowHeight="15" zeroHeight="1" x14ac:dyDescent="0.25"/>
  <cols>
    <col min="1" max="1" width="11.42578125" style="5" customWidth="1"/>
    <col min="2" max="2" width="11.42578125" style="5" hidden="1" customWidth="1"/>
    <col min="3" max="3" width="4" style="5" customWidth="1"/>
    <col min="4" max="4" width="3.5703125" customWidth="1"/>
    <col min="5" max="5" width="1.5703125" customWidth="1"/>
    <col min="6" max="6" width="16.28515625" bestFit="1" customWidth="1"/>
    <col min="7" max="7" width="1.5703125" customWidth="1"/>
    <col min="8" max="8" width="16.5703125" bestFit="1" customWidth="1"/>
    <col min="9" max="9" width="1.5703125" customWidth="1"/>
    <col min="10" max="10" width="22" customWidth="1"/>
    <col min="11" max="11" width="1.5703125" customWidth="1"/>
    <col min="12" max="12" width="22.85546875" bestFit="1" customWidth="1"/>
    <col min="13" max="13" width="1.5703125" customWidth="1"/>
    <col min="14" max="14" width="18.28515625" bestFit="1" customWidth="1"/>
    <col min="15" max="15" width="1.5703125" customWidth="1"/>
    <col min="16" max="16" width="24" bestFit="1" customWidth="1"/>
    <col min="17" max="17" width="11.42578125" customWidth="1"/>
    <col min="18" max="16384" width="11.42578125" hidden="1"/>
  </cols>
  <sheetData>
    <row r="1" spans="1:16" x14ac:dyDescent="0.25">
      <c r="A1" s="18"/>
      <c r="B1" s="18"/>
      <c r="C1" s="18"/>
    </row>
    <row r="2" spans="1:16" x14ac:dyDescent="0.25">
      <c r="A2" s="18"/>
      <c r="B2" s="18"/>
      <c r="C2" s="18"/>
    </row>
    <row r="3" spans="1:16" ht="15.75" x14ac:dyDescent="0.25">
      <c r="A3" s="18"/>
      <c r="B3" s="18"/>
      <c r="C3" s="18"/>
      <c r="E3" s="22" t="s">
        <v>81</v>
      </c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</row>
    <row r="4" spans="1:16" x14ac:dyDescent="0.25">
      <c r="A4" s="18"/>
      <c r="B4" s="18"/>
      <c r="C4" s="18"/>
      <c r="E4" s="21" t="s">
        <v>82</v>
      </c>
      <c r="F4" s="21"/>
      <c r="G4" s="21" t="s">
        <v>83</v>
      </c>
      <c r="H4" s="21"/>
      <c r="I4" s="21" t="s">
        <v>84</v>
      </c>
      <c r="J4" s="21"/>
      <c r="K4" s="21" t="s">
        <v>94</v>
      </c>
      <c r="L4" s="21"/>
      <c r="M4" s="21" t="s">
        <v>26</v>
      </c>
      <c r="N4" s="21"/>
      <c r="O4" s="21" t="s">
        <v>85</v>
      </c>
      <c r="P4" s="21"/>
    </row>
    <row r="5" spans="1:16" x14ac:dyDescent="0.25">
      <c r="A5" s="18"/>
      <c r="B5" s="18"/>
      <c r="C5" s="18"/>
      <c r="E5" s="15"/>
      <c r="F5" s="16" t="s">
        <v>95</v>
      </c>
      <c r="G5" s="15"/>
      <c r="H5" t="s">
        <v>14</v>
      </c>
      <c r="I5" s="15"/>
      <c r="J5" t="s">
        <v>19</v>
      </c>
      <c r="K5" s="15"/>
      <c r="L5" t="s">
        <v>23</v>
      </c>
      <c r="M5" s="15"/>
      <c r="N5" t="s">
        <v>27</v>
      </c>
      <c r="O5" s="15"/>
      <c r="P5" t="s">
        <v>34</v>
      </c>
    </row>
    <row r="6" spans="1:16" x14ac:dyDescent="0.25">
      <c r="A6" s="18"/>
      <c r="B6" s="18"/>
      <c r="C6" s="18"/>
      <c r="E6" s="15"/>
      <c r="F6" t="s">
        <v>6</v>
      </c>
      <c r="G6" s="15"/>
      <c r="H6" t="s">
        <v>15</v>
      </c>
      <c r="I6" s="15"/>
      <c r="J6" t="s">
        <v>96</v>
      </c>
      <c r="K6" s="15"/>
      <c r="L6" t="s">
        <v>24</v>
      </c>
      <c r="M6" s="15"/>
      <c r="N6" t="s">
        <v>28</v>
      </c>
      <c r="O6" s="15"/>
      <c r="P6" t="s">
        <v>97</v>
      </c>
    </row>
    <row r="7" spans="1:16" x14ac:dyDescent="0.25">
      <c r="A7" s="18"/>
      <c r="B7" s="18"/>
      <c r="C7" s="18"/>
      <c r="E7" s="15"/>
      <c r="F7" t="s">
        <v>7</v>
      </c>
      <c r="G7" s="15"/>
      <c r="H7" t="s">
        <v>16</v>
      </c>
      <c r="I7" s="15"/>
      <c r="J7" t="s">
        <v>20</v>
      </c>
      <c r="K7" s="15"/>
      <c r="L7" t="s">
        <v>25</v>
      </c>
      <c r="M7" s="15"/>
      <c r="N7" t="s">
        <v>29</v>
      </c>
      <c r="O7" s="15"/>
      <c r="P7" t="s">
        <v>35</v>
      </c>
    </row>
    <row r="8" spans="1:16" x14ac:dyDescent="0.25">
      <c r="A8" s="18"/>
      <c r="B8" s="18"/>
      <c r="C8" s="18"/>
      <c r="E8" s="15"/>
      <c r="F8" t="s">
        <v>8</v>
      </c>
      <c r="G8" s="15"/>
      <c r="H8" t="s">
        <v>17</v>
      </c>
      <c r="I8" s="15"/>
      <c r="J8" t="s">
        <v>21</v>
      </c>
      <c r="K8" s="15"/>
      <c r="L8" t="s">
        <v>98</v>
      </c>
      <c r="M8" s="15"/>
      <c r="N8" t="s">
        <v>13</v>
      </c>
      <c r="O8" s="15"/>
      <c r="P8" t="s">
        <v>36</v>
      </c>
    </row>
    <row r="9" spans="1:16" x14ac:dyDescent="0.25">
      <c r="A9" s="18"/>
      <c r="B9" s="18"/>
      <c r="C9" s="18"/>
      <c r="E9" s="15"/>
      <c r="F9" t="s">
        <v>9</v>
      </c>
      <c r="G9" s="15"/>
      <c r="H9" t="s">
        <v>18</v>
      </c>
      <c r="I9" s="15"/>
      <c r="J9" t="s">
        <v>22</v>
      </c>
      <c r="M9" s="15"/>
      <c r="N9" t="s">
        <v>12</v>
      </c>
      <c r="O9" s="15"/>
      <c r="P9" t="s">
        <v>99</v>
      </c>
    </row>
    <row r="10" spans="1:16" x14ac:dyDescent="0.25">
      <c r="A10" s="18"/>
      <c r="B10" s="18"/>
      <c r="C10" s="18"/>
      <c r="E10" s="15"/>
      <c r="F10" t="s">
        <v>10</v>
      </c>
      <c r="M10" s="15"/>
      <c r="N10" t="s">
        <v>30</v>
      </c>
    </row>
    <row r="11" spans="1:16" x14ac:dyDescent="0.25">
      <c r="A11" s="18"/>
      <c r="B11" s="18"/>
      <c r="C11" s="18"/>
      <c r="E11" s="15"/>
      <c r="F11" t="s">
        <v>11</v>
      </c>
      <c r="M11" s="15"/>
      <c r="N11" t="s">
        <v>31</v>
      </c>
    </row>
    <row r="12" spans="1:16" x14ac:dyDescent="0.25">
      <c r="A12" s="18"/>
      <c r="B12" s="18"/>
      <c r="C12" s="18"/>
      <c r="E12" s="15"/>
      <c r="F12" t="s">
        <v>12</v>
      </c>
      <c r="M12" s="15"/>
      <c r="N12" t="s">
        <v>32</v>
      </c>
    </row>
    <row r="13" spans="1:16" x14ac:dyDescent="0.25">
      <c r="A13" s="18"/>
      <c r="B13" s="18"/>
      <c r="C13" s="18"/>
      <c r="E13" s="15"/>
      <c r="F13" t="s">
        <v>13</v>
      </c>
      <c r="M13" s="15"/>
      <c r="N13" t="s">
        <v>33</v>
      </c>
    </row>
    <row r="14" spans="1:16" x14ac:dyDescent="0.25">
      <c r="A14" s="18"/>
      <c r="B14" s="18"/>
      <c r="C14" s="18"/>
    </row>
    <row r="15" spans="1:16" x14ac:dyDescent="0.25">
      <c r="A15" s="18"/>
      <c r="B15" s="18"/>
      <c r="C15" s="18"/>
      <c r="E15" s="17"/>
    </row>
    <row r="16" spans="1:16" x14ac:dyDescent="0.25">
      <c r="A16" s="18"/>
      <c r="B16" s="18"/>
      <c r="C16" s="18"/>
      <c r="E16" s="17"/>
    </row>
    <row r="17" spans="1:16" x14ac:dyDescent="0.25">
      <c r="A17" s="18"/>
      <c r="B17" s="18"/>
      <c r="C17" s="18"/>
      <c r="E17" s="21" t="s">
        <v>86</v>
      </c>
      <c r="F17" s="21"/>
      <c r="G17" s="21" t="s">
        <v>87</v>
      </c>
      <c r="H17" s="21"/>
      <c r="I17" s="21" t="s">
        <v>45</v>
      </c>
      <c r="J17" s="21"/>
      <c r="K17" s="21" t="s">
        <v>88</v>
      </c>
      <c r="L17" s="21"/>
      <c r="M17" s="21" t="s">
        <v>89</v>
      </c>
      <c r="N17" s="21"/>
      <c r="O17" s="21" t="s">
        <v>100</v>
      </c>
      <c r="P17" s="21"/>
    </row>
    <row r="18" spans="1:16" x14ac:dyDescent="0.25">
      <c r="A18" s="18"/>
      <c r="B18" s="18"/>
      <c r="C18" s="18"/>
      <c r="E18" s="15"/>
      <c r="F18" t="s">
        <v>37</v>
      </c>
      <c r="G18" s="15"/>
      <c r="H18" t="s">
        <v>41</v>
      </c>
      <c r="I18" s="15"/>
      <c r="J18" t="s">
        <v>7</v>
      </c>
      <c r="K18" s="15"/>
      <c r="L18" t="s">
        <v>46</v>
      </c>
      <c r="M18" s="15"/>
      <c r="N18" t="s">
        <v>50</v>
      </c>
      <c r="O18" s="15"/>
      <c r="P18" t="s">
        <v>101</v>
      </c>
    </row>
    <row r="19" spans="1:16" x14ac:dyDescent="0.25">
      <c r="A19" s="18"/>
      <c r="B19" s="18"/>
      <c r="C19" s="18"/>
      <c r="E19" s="15"/>
      <c r="F19" t="s">
        <v>38</v>
      </c>
      <c r="G19" s="15"/>
      <c r="H19" t="s">
        <v>42</v>
      </c>
      <c r="I19" s="15"/>
      <c r="J19" t="s">
        <v>12</v>
      </c>
      <c r="K19" s="15"/>
      <c r="L19" t="s">
        <v>47</v>
      </c>
      <c r="M19" s="15"/>
      <c r="N19" t="s">
        <v>51</v>
      </c>
    </row>
    <row r="20" spans="1:16" x14ac:dyDescent="0.25">
      <c r="A20" s="18"/>
      <c r="B20" s="18"/>
      <c r="C20" s="18"/>
      <c r="E20" s="15"/>
      <c r="F20" t="s">
        <v>39</v>
      </c>
      <c r="G20" s="15"/>
      <c r="H20" t="s">
        <v>43</v>
      </c>
      <c r="I20" s="15"/>
      <c r="J20" t="s">
        <v>13</v>
      </c>
      <c r="K20" s="15"/>
      <c r="L20" t="s">
        <v>48</v>
      </c>
      <c r="M20" s="15"/>
      <c r="N20" t="s">
        <v>52</v>
      </c>
    </row>
    <row r="21" spans="1:16" x14ac:dyDescent="0.25">
      <c r="A21" s="18"/>
      <c r="B21" s="18"/>
      <c r="C21" s="18"/>
      <c r="E21" s="15"/>
      <c r="F21" t="s">
        <v>40</v>
      </c>
      <c r="G21" s="15"/>
      <c r="H21" t="s">
        <v>44</v>
      </c>
      <c r="K21" s="15"/>
      <c r="L21" t="s">
        <v>57</v>
      </c>
      <c r="M21" s="15"/>
      <c r="N21" t="s">
        <v>53</v>
      </c>
    </row>
    <row r="22" spans="1:16" x14ac:dyDescent="0.25">
      <c r="A22" s="18"/>
      <c r="B22" s="18"/>
      <c r="C22" s="18"/>
      <c r="E22" s="15"/>
      <c r="F22" t="s">
        <v>93</v>
      </c>
      <c r="K22" s="15"/>
      <c r="L22" t="s">
        <v>58</v>
      </c>
      <c r="M22" s="15"/>
      <c r="N22" t="s">
        <v>54</v>
      </c>
    </row>
    <row r="23" spans="1:16" x14ac:dyDescent="0.25">
      <c r="A23" s="18"/>
      <c r="B23" s="18"/>
      <c r="C23" s="18"/>
      <c r="E23" s="17"/>
      <c r="K23" s="15"/>
      <c r="L23" t="s">
        <v>59</v>
      </c>
      <c r="M23" s="15"/>
      <c r="N23" t="s">
        <v>55</v>
      </c>
    </row>
    <row r="24" spans="1:16" x14ac:dyDescent="0.25">
      <c r="A24" s="18"/>
      <c r="B24" s="18"/>
      <c r="C24" s="18"/>
      <c r="E24" s="17"/>
      <c r="M24" s="15"/>
      <c r="N24" t="s">
        <v>56</v>
      </c>
    </row>
    <row r="25" spans="1:16" x14ac:dyDescent="0.25">
      <c r="A25" s="18"/>
      <c r="B25" s="18"/>
      <c r="C25" s="18"/>
      <c r="E25" s="17"/>
    </row>
  </sheetData>
  <mergeCells count="13">
    <mergeCell ref="O17:P17"/>
    <mergeCell ref="E3:P3"/>
    <mergeCell ref="E4:F4"/>
    <mergeCell ref="G4:H4"/>
    <mergeCell ref="I4:J4"/>
    <mergeCell ref="K4:L4"/>
    <mergeCell ref="M4:N4"/>
    <mergeCell ref="O4:P4"/>
    <mergeCell ref="E17:F17"/>
    <mergeCell ref="G17:H17"/>
    <mergeCell ref="I17:J17"/>
    <mergeCell ref="K17:L17"/>
    <mergeCell ref="M17:N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707D-D2EA-47D5-A3F0-35DDD0D2F6CF}">
  <sheetPr codeName="Hoja3"/>
  <dimension ref="A1:J60"/>
  <sheetViews>
    <sheetView tabSelected="1" workbookViewId="0">
      <selection activeCell="I14" sqref="I14"/>
    </sheetView>
  </sheetViews>
  <sheetFormatPr baseColWidth="10" defaultRowHeight="15" x14ac:dyDescent="0.25"/>
  <cols>
    <col min="1" max="1" width="10.7109375" bestFit="1" customWidth="1"/>
    <col min="2" max="2" width="19" bestFit="1" customWidth="1"/>
    <col min="3" max="3" width="19.28515625" bestFit="1" customWidth="1"/>
    <col min="4" max="4" width="20.42578125" bestFit="1" customWidth="1"/>
    <col min="5" max="5" width="22.85546875" bestFit="1" customWidth="1"/>
    <col min="6" max="6" width="10" bestFit="1" customWidth="1"/>
    <col min="7" max="7" width="23" bestFit="1" customWidth="1"/>
    <col min="8" max="10" width="11.5703125" bestFit="1" customWidth="1"/>
  </cols>
  <sheetData>
    <row r="1" spans="1:10" x14ac:dyDescent="0.25">
      <c r="A1" t="s">
        <v>0</v>
      </c>
      <c r="B1" t="s">
        <v>75</v>
      </c>
      <c r="C1" t="s">
        <v>4</v>
      </c>
      <c r="D1" t="s">
        <v>64</v>
      </c>
      <c r="E1" t="s">
        <v>74</v>
      </c>
      <c r="F1" t="s">
        <v>2</v>
      </c>
      <c r="G1" t="s">
        <v>1</v>
      </c>
      <c r="H1" t="s">
        <v>3</v>
      </c>
      <c r="I1" t="s">
        <v>77</v>
      </c>
      <c r="J1" t="s">
        <v>76</v>
      </c>
    </row>
    <row r="2" spans="1:10" x14ac:dyDescent="0.25">
      <c r="A2" s="8">
        <v>44985</v>
      </c>
      <c r="B2" s="9">
        <v>44993.302094907405</v>
      </c>
      <c r="C2" t="s">
        <v>66</v>
      </c>
      <c r="D2" t="s">
        <v>49</v>
      </c>
      <c r="E2" t="s">
        <v>56</v>
      </c>
      <c r="F2" t="s">
        <v>103</v>
      </c>
      <c r="G2" t="s">
        <v>134</v>
      </c>
      <c r="H2" s="13">
        <v>0</v>
      </c>
      <c r="I2" s="13">
        <v>50383</v>
      </c>
      <c r="J2" s="13">
        <v>50383</v>
      </c>
    </row>
    <row r="3" spans="1:10" x14ac:dyDescent="0.25">
      <c r="A3" s="8">
        <v>44985</v>
      </c>
      <c r="B3" s="9">
        <v>44993.285844907405</v>
      </c>
      <c r="C3" t="s">
        <v>66</v>
      </c>
      <c r="D3" t="s">
        <v>49</v>
      </c>
      <c r="E3" t="s">
        <v>56</v>
      </c>
      <c r="F3" t="s">
        <v>62</v>
      </c>
      <c r="G3" t="s">
        <v>134</v>
      </c>
      <c r="H3" s="13">
        <v>0</v>
      </c>
      <c r="I3" s="13">
        <v>11000</v>
      </c>
      <c r="J3" s="13">
        <v>11000</v>
      </c>
    </row>
    <row r="4" spans="1:10" x14ac:dyDescent="0.25">
      <c r="A4" s="8">
        <v>44984</v>
      </c>
      <c r="B4" s="9">
        <v>44993.300682870373</v>
      </c>
      <c r="C4" t="s">
        <v>66</v>
      </c>
      <c r="D4" t="s">
        <v>49</v>
      </c>
      <c r="E4" t="s">
        <v>56</v>
      </c>
      <c r="F4" t="s">
        <v>103</v>
      </c>
      <c r="G4" t="s">
        <v>134</v>
      </c>
      <c r="H4" s="13">
        <v>0</v>
      </c>
      <c r="I4" s="13">
        <v>118000</v>
      </c>
      <c r="J4" s="13">
        <v>118000</v>
      </c>
    </row>
    <row r="5" spans="1:10" x14ac:dyDescent="0.25">
      <c r="A5" s="8">
        <v>44984</v>
      </c>
      <c r="B5" s="9">
        <v>44993.301469907405</v>
      </c>
      <c r="C5" t="s">
        <v>65</v>
      </c>
      <c r="D5" t="s">
        <v>26</v>
      </c>
      <c r="E5" t="s">
        <v>12</v>
      </c>
      <c r="F5" t="s">
        <v>103</v>
      </c>
      <c r="G5" t="s">
        <v>139</v>
      </c>
      <c r="H5" s="13">
        <v>80000</v>
      </c>
      <c r="I5" s="13">
        <v>0</v>
      </c>
      <c r="J5" s="13">
        <v>80000</v>
      </c>
    </row>
    <row r="6" spans="1:10" x14ac:dyDescent="0.25">
      <c r="A6" s="8">
        <v>44984</v>
      </c>
      <c r="B6" s="9">
        <v>44993.305625000001</v>
      </c>
      <c r="C6" t="s">
        <v>65</v>
      </c>
      <c r="D6" t="s">
        <v>69</v>
      </c>
      <c r="E6" t="s">
        <v>8</v>
      </c>
      <c r="F6" t="s">
        <v>103</v>
      </c>
      <c r="G6" t="s">
        <v>137</v>
      </c>
      <c r="H6" s="13">
        <v>47580</v>
      </c>
      <c r="I6" s="13">
        <v>0</v>
      </c>
      <c r="J6" s="13">
        <v>47580</v>
      </c>
    </row>
    <row r="7" spans="1:10" x14ac:dyDescent="0.25">
      <c r="A7" s="8">
        <v>44984</v>
      </c>
      <c r="B7" s="9">
        <v>44993.308298611111</v>
      </c>
      <c r="C7" t="s">
        <v>65</v>
      </c>
      <c r="D7" t="s">
        <v>69</v>
      </c>
      <c r="E7" t="s">
        <v>7</v>
      </c>
      <c r="F7" t="s">
        <v>103</v>
      </c>
      <c r="G7" t="s">
        <v>140</v>
      </c>
      <c r="H7" s="13">
        <v>70558</v>
      </c>
      <c r="I7" s="13">
        <v>0</v>
      </c>
      <c r="J7" s="13">
        <v>70558</v>
      </c>
    </row>
    <row r="8" spans="1:10" x14ac:dyDescent="0.25">
      <c r="A8" s="8">
        <v>44978</v>
      </c>
      <c r="B8" s="9">
        <v>44993.296967592592</v>
      </c>
      <c r="C8" t="s">
        <v>66</v>
      </c>
      <c r="D8" t="s">
        <v>49</v>
      </c>
      <c r="E8" t="s">
        <v>56</v>
      </c>
      <c r="F8" t="s">
        <v>103</v>
      </c>
      <c r="G8" t="s">
        <v>138</v>
      </c>
      <c r="H8" s="13">
        <v>0</v>
      </c>
      <c r="I8" s="13">
        <v>103153</v>
      </c>
      <c r="J8" s="13">
        <v>103153</v>
      </c>
    </row>
    <row r="9" spans="1:10" x14ac:dyDescent="0.25">
      <c r="A9" s="8">
        <v>44978</v>
      </c>
      <c r="B9" s="9">
        <v>44993.299895833334</v>
      </c>
      <c r="C9" t="s">
        <v>65</v>
      </c>
      <c r="D9" t="s">
        <v>26</v>
      </c>
      <c r="E9" t="s">
        <v>29</v>
      </c>
      <c r="F9" t="s">
        <v>103</v>
      </c>
      <c r="G9" t="s">
        <v>138</v>
      </c>
      <c r="H9" s="13">
        <v>60420</v>
      </c>
      <c r="I9" s="13">
        <v>0</v>
      </c>
      <c r="J9" s="13">
        <v>60420</v>
      </c>
    </row>
    <row r="10" spans="1:10" x14ac:dyDescent="0.25">
      <c r="A10" s="8">
        <v>44977</v>
      </c>
      <c r="B10" s="9">
        <v>44993.296585648146</v>
      </c>
      <c r="C10" t="s">
        <v>66</v>
      </c>
      <c r="D10" t="s">
        <v>49</v>
      </c>
      <c r="E10" t="s">
        <v>56</v>
      </c>
      <c r="F10" t="s">
        <v>103</v>
      </c>
      <c r="G10" t="s">
        <v>138</v>
      </c>
      <c r="H10" s="13">
        <v>0</v>
      </c>
      <c r="I10" s="13">
        <v>38200</v>
      </c>
      <c r="J10" s="13">
        <v>38200</v>
      </c>
    </row>
    <row r="11" spans="1:10" x14ac:dyDescent="0.25">
      <c r="A11" s="8">
        <v>44977</v>
      </c>
      <c r="B11" s="9">
        <v>44993.286365740743</v>
      </c>
      <c r="C11" t="s">
        <v>65</v>
      </c>
      <c r="D11" t="s">
        <v>80</v>
      </c>
      <c r="E11" t="s">
        <v>47</v>
      </c>
      <c r="F11" t="s">
        <v>62</v>
      </c>
      <c r="G11" t="s">
        <v>135</v>
      </c>
      <c r="H11" s="13">
        <v>38200</v>
      </c>
      <c r="I11" s="13">
        <v>0</v>
      </c>
      <c r="J11" s="13">
        <v>38200</v>
      </c>
    </row>
    <row r="12" spans="1:10" x14ac:dyDescent="0.25">
      <c r="A12" s="8">
        <v>44976</v>
      </c>
      <c r="B12" s="9">
        <v>44993.285567129627</v>
      </c>
      <c r="C12" t="s">
        <v>66</v>
      </c>
      <c r="D12" t="s">
        <v>49</v>
      </c>
      <c r="E12" t="s">
        <v>56</v>
      </c>
      <c r="F12" t="s">
        <v>62</v>
      </c>
      <c r="G12" t="s">
        <v>134</v>
      </c>
      <c r="H12" s="13">
        <v>0</v>
      </c>
      <c r="I12" s="13">
        <v>9200</v>
      </c>
      <c r="J12" s="13">
        <v>9200</v>
      </c>
    </row>
    <row r="13" spans="1:10" x14ac:dyDescent="0.25">
      <c r="A13" s="8">
        <v>44975</v>
      </c>
      <c r="B13" s="9">
        <v>44993.284456018519</v>
      </c>
      <c r="C13" t="s">
        <v>65</v>
      </c>
      <c r="D13" t="s">
        <v>80</v>
      </c>
      <c r="E13" t="s">
        <v>46</v>
      </c>
      <c r="F13" t="s">
        <v>62</v>
      </c>
      <c r="G13" t="s">
        <v>132</v>
      </c>
      <c r="H13" s="13">
        <v>500000</v>
      </c>
      <c r="I13" s="13">
        <v>0</v>
      </c>
      <c r="J13" s="13">
        <v>500000</v>
      </c>
    </row>
    <row r="14" spans="1:10" x14ac:dyDescent="0.25">
      <c r="A14" s="8">
        <v>44975</v>
      </c>
      <c r="B14" s="9">
        <v>44993.284988425927</v>
      </c>
      <c r="C14" t="s">
        <v>66</v>
      </c>
      <c r="D14" t="s">
        <v>49</v>
      </c>
      <c r="E14" t="s">
        <v>53</v>
      </c>
      <c r="F14" t="s">
        <v>62</v>
      </c>
      <c r="G14" t="s">
        <v>133</v>
      </c>
      <c r="H14" s="13">
        <v>0</v>
      </c>
      <c r="I14" s="13">
        <v>6.65</v>
      </c>
      <c r="J14" s="13">
        <v>6.65</v>
      </c>
    </row>
    <row r="15" spans="1:10" x14ac:dyDescent="0.25">
      <c r="A15" s="8">
        <v>44974</v>
      </c>
      <c r="B15" s="9">
        <v>44993.283807870372</v>
      </c>
      <c r="C15" t="s">
        <v>66</v>
      </c>
      <c r="D15" t="s">
        <v>79</v>
      </c>
      <c r="E15" t="s">
        <v>59</v>
      </c>
      <c r="F15" t="s">
        <v>62</v>
      </c>
      <c r="G15" t="s">
        <v>131</v>
      </c>
      <c r="H15" s="13">
        <v>0</v>
      </c>
      <c r="I15" s="13">
        <v>12800</v>
      </c>
      <c r="J15" s="13">
        <v>12800</v>
      </c>
    </row>
    <row r="16" spans="1:10" x14ac:dyDescent="0.25">
      <c r="A16" s="8">
        <v>44974</v>
      </c>
      <c r="B16" s="9">
        <v>44993.283935185187</v>
      </c>
      <c r="C16" t="s">
        <v>66</v>
      </c>
      <c r="D16" t="s">
        <v>79</v>
      </c>
      <c r="E16" t="s">
        <v>59</v>
      </c>
      <c r="F16" t="s">
        <v>62</v>
      </c>
      <c r="G16" t="s">
        <v>131</v>
      </c>
      <c r="H16" s="13">
        <v>0</v>
      </c>
      <c r="I16" s="13">
        <v>9700</v>
      </c>
      <c r="J16" s="13">
        <v>9700</v>
      </c>
    </row>
    <row r="17" spans="1:10" x14ac:dyDescent="0.25">
      <c r="A17" s="8">
        <v>44971</v>
      </c>
      <c r="B17" s="9">
        <v>44993.283506944441</v>
      </c>
      <c r="C17" t="s">
        <v>66</v>
      </c>
      <c r="D17" t="s">
        <v>79</v>
      </c>
      <c r="E17" t="s">
        <v>59</v>
      </c>
      <c r="F17" t="s">
        <v>62</v>
      </c>
      <c r="G17" t="s">
        <v>131</v>
      </c>
      <c r="H17" s="13">
        <v>0</v>
      </c>
      <c r="I17" s="13">
        <v>6700</v>
      </c>
      <c r="J17" s="13">
        <v>6700</v>
      </c>
    </row>
    <row r="18" spans="1:10" x14ac:dyDescent="0.25">
      <c r="A18" s="8">
        <v>44970</v>
      </c>
      <c r="B18" s="9">
        <v>44993.281886574077</v>
      </c>
      <c r="C18" t="s">
        <v>66</v>
      </c>
      <c r="D18" t="s">
        <v>49</v>
      </c>
      <c r="E18" t="s">
        <v>54</v>
      </c>
      <c r="F18" t="s">
        <v>62</v>
      </c>
      <c r="G18" t="s">
        <v>129</v>
      </c>
      <c r="H18" s="13">
        <v>0</v>
      </c>
      <c r="I18" s="13">
        <v>550000</v>
      </c>
      <c r="J18" s="13">
        <v>550000</v>
      </c>
    </row>
    <row r="19" spans="1:10" x14ac:dyDescent="0.25">
      <c r="A19" s="8">
        <v>44970</v>
      </c>
      <c r="B19" s="9">
        <v>44993.282511574071</v>
      </c>
      <c r="C19" t="s">
        <v>65</v>
      </c>
      <c r="D19" t="s">
        <v>80</v>
      </c>
      <c r="E19" t="s">
        <v>46</v>
      </c>
      <c r="F19" t="s">
        <v>62</v>
      </c>
      <c r="G19" t="s">
        <v>130</v>
      </c>
      <c r="H19" s="13">
        <v>50000</v>
      </c>
      <c r="I19" s="13">
        <v>0</v>
      </c>
      <c r="J19" s="13">
        <v>50000</v>
      </c>
    </row>
    <row r="20" spans="1:10" x14ac:dyDescent="0.25">
      <c r="A20" s="8">
        <v>44967</v>
      </c>
      <c r="B20" s="9">
        <v>44993.281342592592</v>
      </c>
      <c r="C20" t="s">
        <v>65</v>
      </c>
      <c r="D20" t="s">
        <v>67</v>
      </c>
      <c r="E20" t="s">
        <v>14</v>
      </c>
      <c r="F20" t="s">
        <v>62</v>
      </c>
      <c r="G20" t="s">
        <v>128</v>
      </c>
      <c r="H20" s="13">
        <v>4000</v>
      </c>
      <c r="I20" s="13">
        <v>0</v>
      </c>
      <c r="J20" s="13">
        <v>4000</v>
      </c>
    </row>
    <row r="21" spans="1:10" x14ac:dyDescent="0.25">
      <c r="A21" s="8">
        <v>44966</v>
      </c>
      <c r="B21" s="9">
        <v>44993.278425925928</v>
      </c>
      <c r="C21" t="s">
        <v>65</v>
      </c>
      <c r="D21" t="s">
        <v>80</v>
      </c>
      <c r="E21" t="s">
        <v>48</v>
      </c>
      <c r="F21" t="s">
        <v>62</v>
      </c>
      <c r="G21" t="s">
        <v>127</v>
      </c>
      <c r="H21" s="13">
        <v>15000</v>
      </c>
      <c r="I21" s="13">
        <v>0</v>
      </c>
      <c r="J21" s="13">
        <v>15000</v>
      </c>
    </row>
    <row r="22" spans="1:10" x14ac:dyDescent="0.25">
      <c r="A22" s="8">
        <v>44966</v>
      </c>
      <c r="B22" s="9">
        <v>44993.27857638889</v>
      </c>
      <c r="C22" t="s">
        <v>66</v>
      </c>
      <c r="D22" t="s">
        <v>79</v>
      </c>
      <c r="E22" t="s">
        <v>59</v>
      </c>
      <c r="F22" t="s">
        <v>62</v>
      </c>
      <c r="G22" t="s">
        <v>127</v>
      </c>
      <c r="H22" s="13">
        <v>0</v>
      </c>
      <c r="I22" s="13">
        <v>15000</v>
      </c>
      <c r="J22" s="13">
        <v>15000</v>
      </c>
    </row>
    <row r="23" spans="1:10" x14ac:dyDescent="0.25">
      <c r="A23" s="8">
        <v>44966</v>
      </c>
      <c r="B23" s="9">
        <v>44993.279895833337</v>
      </c>
      <c r="C23" t="s">
        <v>65</v>
      </c>
      <c r="D23" t="s">
        <v>80</v>
      </c>
      <c r="E23" t="s">
        <v>48</v>
      </c>
      <c r="F23" t="s">
        <v>62</v>
      </c>
      <c r="G23" t="s">
        <v>126</v>
      </c>
      <c r="H23" s="13">
        <v>7400</v>
      </c>
      <c r="I23" s="13">
        <v>0</v>
      </c>
      <c r="J23" s="13">
        <v>7400</v>
      </c>
    </row>
    <row r="24" spans="1:10" x14ac:dyDescent="0.25">
      <c r="A24" s="8">
        <v>44964</v>
      </c>
      <c r="B24" s="9">
        <v>44993.296064814815</v>
      </c>
      <c r="C24" t="s">
        <v>65</v>
      </c>
      <c r="D24" t="s">
        <v>69</v>
      </c>
      <c r="E24" t="s">
        <v>11</v>
      </c>
      <c r="F24" t="s">
        <v>103</v>
      </c>
      <c r="G24" t="s">
        <v>137</v>
      </c>
      <c r="H24" s="13">
        <v>266500</v>
      </c>
      <c r="I24" s="13">
        <v>0</v>
      </c>
      <c r="J24" s="13">
        <v>266500</v>
      </c>
    </row>
    <row r="25" spans="1:10" x14ac:dyDescent="0.25">
      <c r="A25" s="8">
        <v>44963</v>
      </c>
      <c r="B25" s="9">
        <v>44993.292222222219</v>
      </c>
      <c r="C25" t="s">
        <v>66</v>
      </c>
      <c r="D25" t="s">
        <v>79</v>
      </c>
      <c r="E25" t="s">
        <v>59</v>
      </c>
      <c r="F25" t="s">
        <v>103</v>
      </c>
      <c r="G25" t="s">
        <v>136</v>
      </c>
      <c r="H25" s="13">
        <v>0</v>
      </c>
      <c r="I25" s="13">
        <v>274000</v>
      </c>
      <c r="J25" s="13">
        <v>274000</v>
      </c>
    </row>
    <row r="26" spans="1:10" x14ac:dyDescent="0.25">
      <c r="A26" s="8">
        <v>44963</v>
      </c>
      <c r="B26" s="9">
        <v>44993.295289351852</v>
      </c>
      <c r="C26" t="s">
        <v>65</v>
      </c>
      <c r="D26" t="s">
        <v>71</v>
      </c>
      <c r="E26" t="s">
        <v>23</v>
      </c>
      <c r="F26" t="s">
        <v>103</v>
      </c>
      <c r="G26" t="s">
        <v>119</v>
      </c>
      <c r="H26" s="13">
        <v>64400</v>
      </c>
      <c r="I26" s="13">
        <v>0</v>
      </c>
      <c r="J26" s="13">
        <v>64400</v>
      </c>
    </row>
    <row r="27" spans="1:10" x14ac:dyDescent="0.25">
      <c r="A27" s="8">
        <v>44961</v>
      </c>
      <c r="B27" s="9">
        <v>44993.269201388888</v>
      </c>
      <c r="C27" t="s">
        <v>65</v>
      </c>
      <c r="D27" t="s">
        <v>80</v>
      </c>
      <c r="E27" t="s">
        <v>46</v>
      </c>
      <c r="F27" t="s">
        <v>62</v>
      </c>
      <c r="G27" t="s">
        <v>113</v>
      </c>
      <c r="H27" s="13">
        <v>50000</v>
      </c>
      <c r="I27" s="13">
        <v>0</v>
      </c>
      <c r="J27" s="13">
        <v>50000</v>
      </c>
    </row>
    <row r="28" spans="1:10" x14ac:dyDescent="0.25">
      <c r="A28" s="8">
        <v>44961</v>
      </c>
      <c r="B28" s="9">
        <v>44993.278020833335</v>
      </c>
      <c r="C28" t="s">
        <v>65</v>
      </c>
      <c r="D28" t="s">
        <v>80</v>
      </c>
      <c r="E28" t="s">
        <v>48</v>
      </c>
      <c r="F28" t="s">
        <v>62</v>
      </c>
      <c r="G28" t="s">
        <v>126</v>
      </c>
      <c r="H28" s="13">
        <v>10000</v>
      </c>
      <c r="I28" s="13">
        <v>0</v>
      </c>
      <c r="J28" s="13">
        <v>10000</v>
      </c>
    </row>
    <row r="29" spans="1:10" x14ac:dyDescent="0.25">
      <c r="A29" s="8">
        <v>44960</v>
      </c>
      <c r="B29" s="9">
        <v>44993.268738425926</v>
      </c>
      <c r="C29" t="s">
        <v>65</v>
      </c>
      <c r="D29" t="s">
        <v>80</v>
      </c>
      <c r="E29" t="s">
        <v>48</v>
      </c>
      <c r="F29" t="s">
        <v>62</v>
      </c>
      <c r="G29" t="s">
        <v>113</v>
      </c>
      <c r="H29" s="13">
        <v>3000</v>
      </c>
      <c r="I29" s="13">
        <v>0</v>
      </c>
      <c r="J29" s="13">
        <v>3000</v>
      </c>
    </row>
    <row r="30" spans="1:10" x14ac:dyDescent="0.25">
      <c r="A30" s="8">
        <v>44957</v>
      </c>
      <c r="B30" s="9">
        <v>44965.491712962961</v>
      </c>
      <c r="C30" t="s">
        <v>66</v>
      </c>
      <c r="D30" t="s">
        <v>79</v>
      </c>
      <c r="E30" t="s">
        <v>58</v>
      </c>
      <c r="F30" t="s">
        <v>103</v>
      </c>
      <c r="G30" t="s">
        <v>110</v>
      </c>
      <c r="H30" s="13">
        <v>0</v>
      </c>
      <c r="I30" s="13">
        <v>65000</v>
      </c>
      <c r="J30" s="13">
        <v>65000</v>
      </c>
    </row>
    <row r="31" spans="1:10" x14ac:dyDescent="0.25">
      <c r="A31" s="8">
        <v>44956</v>
      </c>
      <c r="B31" s="9">
        <v>44993.261030092595</v>
      </c>
      <c r="C31" t="s">
        <v>65</v>
      </c>
      <c r="D31" t="s">
        <v>80</v>
      </c>
      <c r="E31" t="s">
        <v>48</v>
      </c>
      <c r="F31" t="s">
        <v>62</v>
      </c>
      <c r="G31" t="s">
        <v>115</v>
      </c>
      <c r="H31" s="13">
        <v>10000</v>
      </c>
      <c r="I31" s="13">
        <v>0</v>
      </c>
      <c r="J31" s="13">
        <v>10000</v>
      </c>
    </row>
    <row r="32" spans="1:10" x14ac:dyDescent="0.25">
      <c r="A32" s="8">
        <v>44956</v>
      </c>
      <c r="B32" s="9">
        <v>44993.261678240742</v>
      </c>
      <c r="C32" t="s">
        <v>66</v>
      </c>
      <c r="D32" t="s">
        <v>79</v>
      </c>
      <c r="E32" t="s">
        <v>57</v>
      </c>
      <c r="F32" t="s">
        <v>62</v>
      </c>
      <c r="G32" t="s">
        <v>125</v>
      </c>
      <c r="H32" s="13">
        <v>0</v>
      </c>
      <c r="I32" s="13">
        <v>44950</v>
      </c>
      <c r="J32" s="13">
        <v>44950</v>
      </c>
    </row>
    <row r="33" spans="1:10" x14ac:dyDescent="0.25">
      <c r="A33" s="8">
        <v>44956</v>
      </c>
      <c r="B33" s="9">
        <v>44993.263298611113</v>
      </c>
      <c r="C33" t="s">
        <v>66</v>
      </c>
      <c r="D33" t="s">
        <v>79</v>
      </c>
      <c r="E33" t="s">
        <v>59</v>
      </c>
      <c r="F33" t="s">
        <v>62</v>
      </c>
      <c r="G33" t="s">
        <v>113</v>
      </c>
      <c r="H33" s="13">
        <v>0</v>
      </c>
      <c r="I33" s="13">
        <v>65000</v>
      </c>
      <c r="J33" s="13">
        <v>65000</v>
      </c>
    </row>
    <row r="34" spans="1:10" x14ac:dyDescent="0.25">
      <c r="A34" s="8">
        <v>44956</v>
      </c>
      <c r="B34" s="9">
        <v>44993.26357638889</v>
      </c>
      <c r="C34" t="s">
        <v>65</v>
      </c>
      <c r="D34" t="s">
        <v>80</v>
      </c>
      <c r="E34" t="s">
        <v>47</v>
      </c>
      <c r="F34" t="s">
        <v>62</v>
      </c>
      <c r="G34" t="s">
        <v>113</v>
      </c>
      <c r="H34" s="13">
        <v>65000</v>
      </c>
      <c r="I34" s="13">
        <v>0</v>
      </c>
      <c r="J34" s="13">
        <v>65000</v>
      </c>
    </row>
    <row r="35" spans="1:10" x14ac:dyDescent="0.25">
      <c r="A35" s="8">
        <v>44955</v>
      </c>
      <c r="B35" s="9">
        <v>44993.26017361111</v>
      </c>
      <c r="C35" t="s">
        <v>66</v>
      </c>
      <c r="D35" t="s">
        <v>79</v>
      </c>
      <c r="E35" t="s">
        <v>59</v>
      </c>
      <c r="F35" t="s">
        <v>62</v>
      </c>
      <c r="G35" t="s">
        <v>124</v>
      </c>
      <c r="H35" s="13">
        <v>0</v>
      </c>
      <c r="I35" s="13">
        <v>30000</v>
      </c>
      <c r="J35" s="13">
        <v>30000</v>
      </c>
    </row>
    <row r="36" spans="1:10" x14ac:dyDescent="0.25">
      <c r="A36" s="8">
        <v>44955</v>
      </c>
      <c r="B36" s="9">
        <v>44993.260520833333</v>
      </c>
      <c r="C36" t="s">
        <v>66</v>
      </c>
      <c r="D36" t="s">
        <v>79</v>
      </c>
      <c r="E36" t="s">
        <v>59</v>
      </c>
      <c r="F36" t="s">
        <v>62</v>
      </c>
      <c r="G36" t="s">
        <v>115</v>
      </c>
      <c r="H36" s="13">
        <v>0</v>
      </c>
      <c r="I36" s="13">
        <v>10000</v>
      </c>
      <c r="J36" s="13">
        <v>10000</v>
      </c>
    </row>
    <row r="37" spans="1:10" x14ac:dyDescent="0.25">
      <c r="A37" s="8">
        <v>44953</v>
      </c>
      <c r="B37" s="9">
        <v>44993.259594907409</v>
      </c>
      <c r="C37" t="s">
        <v>65</v>
      </c>
      <c r="D37" t="s">
        <v>69</v>
      </c>
      <c r="E37" t="s">
        <v>95</v>
      </c>
      <c r="F37" t="s">
        <v>62</v>
      </c>
      <c r="G37" t="s">
        <v>123</v>
      </c>
      <c r="H37" s="13">
        <v>29022</v>
      </c>
      <c r="I37" s="13">
        <v>0</v>
      </c>
      <c r="J37" s="13">
        <v>29022</v>
      </c>
    </row>
    <row r="38" spans="1:10" x14ac:dyDescent="0.25">
      <c r="A38" s="8">
        <v>44952</v>
      </c>
      <c r="B38" s="9">
        <v>44965.488530092596</v>
      </c>
      <c r="C38" t="s">
        <v>65</v>
      </c>
      <c r="D38" t="s">
        <v>69</v>
      </c>
      <c r="E38" t="s">
        <v>8</v>
      </c>
      <c r="F38" t="s">
        <v>103</v>
      </c>
      <c r="G38" t="s">
        <v>108</v>
      </c>
      <c r="H38" s="13">
        <v>71630</v>
      </c>
      <c r="I38" s="13">
        <v>0</v>
      </c>
      <c r="J38" s="13">
        <v>71630</v>
      </c>
    </row>
    <row r="39" spans="1:10" x14ac:dyDescent="0.25">
      <c r="A39" s="8">
        <v>44951</v>
      </c>
      <c r="B39" s="9">
        <v>44965.491261574076</v>
      </c>
      <c r="C39" t="s">
        <v>66</v>
      </c>
      <c r="D39" t="s">
        <v>79</v>
      </c>
      <c r="E39" t="s">
        <v>59</v>
      </c>
      <c r="F39" t="s">
        <v>103</v>
      </c>
      <c r="G39" t="s">
        <v>109</v>
      </c>
      <c r="H39" s="13">
        <v>0</v>
      </c>
      <c r="I39" s="13">
        <v>72000</v>
      </c>
      <c r="J39" s="13">
        <v>72000</v>
      </c>
    </row>
    <row r="40" spans="1:10" x14ac:dyDescent="0.25">
      <c r="A40" s="8">
        <v>44951</v>
      </c>
      <c r="B40" s="9">
        <v>44993.259074074071</v>
      </c>
      <c r="C40" t="s">
        <v>66</v>
      </c>
      <c r="D40" t="s">
        <v>79</v>
      </c>
      <c r="E40" t="s">
        <v>57</v>
      </c>
      <c r="F40" t="s">
        <v>62</v>
      </c>
      <c r="G40" t="s">
        <v>122</v>
      </c>
      <c r="H40" s="13">
        <v>0</v>
      </c>
      <c r="I40" s="13">
        <v>32000</v>
      </c>
      <c r="J40" s="13">
        <v>32000</v>
      </c>
    </row>
    <row r="41" spans="1:10" x14ac:dyDescent="0.25">
      <c r="A41" s="8">
        <v>44947</v>
      </c>
      <c r="B41" s="9">
        <v>44993.258379629631</v>
      </c>
      <c r="C41" t="s">
        <v>66</v>
      </c>
      <c r="D41" t="s">
        <v>49</v>
      </c>
      <c r="E41" t="s">
        <v>53</v>
      </c>
      <c r="F41" t="s">
        <v>62</v>
      </c>
      <c r="G41" t="s">
        <v>113</v>
      </c>
      <c r="H41" s="13">
        <v>0</v>
      </c>
      <c r="I41" s="13">
        <v>15.95</v>
      </c>
      <c r="J41" s="13">
        <v>15.95</v>
      </c>
    </row>
    <row r="42" spans="1:10" x14ac:dyDescent="0.25">
      <c r="A42" s="8">
        <v>44946</v>
      </c>
      <c r="B42" s="9">
        <v>44993.257731481484</v>
      </c>
      <c r="C42" t="s">
        <v>65</v>
      </c>
      <c r="D42" t="s">
        <v>80</v>
      </c>
      <c r="E42" t="s">
        <v>46</v>
      </c>
      <c r="F42" t="s">
        <v>62</v>
      </c>
      <c r="G42" t="s">
        <v>121</v>
      </c>
      <c r="H42" s="13">
        <v>140000</v>
      </c>
      <c r="I42" s="13">
        <v>0</v>
      </c>
      <c r="J42" s="13">
        <v>140000</v>
      </c>
    </row>
    <row r="43" spans="1:10" x14ac:dyDescent="0.25">
      <c r="A43" s="8">
        <v>44944</v>
      </c>
      <c r="B43" s="9">
        <v>44993.256481481483</v>
      </c>
      <c r="C43" t="s">
        <v>66</v>
      </c>
      <c r="D43" t="s">
        <v>79</v>
      </c>
      <c r="E43" t="s">
        <v>59</v>
      </c>
      <c r="F43" t="s">
        <v>62</v>
      </c>
      <c r="G43" t="s">
        <v>119</v>
      </c>
      <c r="H43" s="13">
        <v>0</v>
      </c>
      <c r="I43" s="13">
        <v>100000</v>
      </c>
      <c r="J43" s="13">
        <v>100000</v>
      </c>
    </row>
    <row r="44" spans="1:10" x14ac:dyDescent="0.25">
      <c r="A44" s="8">
        <v>44944</v>
      </c>
      <c r="B44" s="9">
        <v>44993.257175925923</v>
      </c>
      <c r="C44" t="s">
        <v>65</v>
      </c>
      <c r="D44" t="s">
        <v>69</v>
      </c>
      <c r="E44" t="s">
        <v>9</v>
      </c>
      <c r="F44" t="s">
        <v>62</v>
      </c>
      <c r="G44" t="s">
        <v>120</v>
      </c>
      <c r="H44" s="13">
        <v>6620</v>
      </c>
      <c r="I44" s="13">
        <v>0</v>
      </c>
      <c r="J44" s="13">
        <v>6620</v>
      </c>
    </row>
    <row r="45" spans="1:10" x14ac:dyDescent="0.25">
      <c r="A45" s="8">
        <v>44941</v>
      </c>
      <c r="B45" s="9">
        <v>44993.254745370374</v>
      </c>
      <c r="C45" t="s">
        <v>65</v>
      </c>
      <c r="D45" t="s">
        <v>80</v>
      </c>
      <c r="E45" t="s">
        <v>48</v>
      </c>
      <c r="F45" t="s">
        <v>62</v>
      </c>
      <c r="G45" t="s">
        <v>117</v>
      </c>
      <c r="H45" s="13">
        <v>465000</v>
      </c>
      <c r="I45" s="13">
        <v>0</v>
      </c>
      <c r="J45" s="13">
        <v>465000</v>
      </c>
    </row>
    <row r="46" spans="1:10" x14ac:dyDescent="0.25">
      <c r="A46" s="8">
        <v>44941</v>
      </c>
      <c r="B46" s="9">
        <v>44993.255590277775</v>
      </c>
      <c r="C46" t="s">
        <v>65</v>
      </c>
      <c r="D46" t="s">
        <v>71</v>
      </c>
      <c r="E46" t="s">
        <v>24</v>
      </c>
      <c r="F46" t="s">
        <v>62</v>
      </c>
      <c r="G46" t="s">
        <v>118</v>
      </c>
      <c r="H46" s="13">
        <v>7500</v>
      </c>
      <c r="I46" s="13">
        <v>0</v>
      </c>
      <c r="J46" s="13">
        <v>7500</v>
      </c>
    </row>
    <row r="47" spans="1:10" x14ac:dyDescent="0.25">
      <c r="A47" s="8">
        <v>44940</v>
      </c>
      <c r="B47" s="9">
        <v>44993.25409722222</v>
      </c>
      <c r="C47" t="s">
        <v>65</v>
      </c>
      <c r="D47" t="s">
        <v>69</v>
      </c>
      <c r="E47" t="s">
        <v>95</v>
      </c>
      <c r="F47" t="s">
        <v>62</v>
      </c>
      <c r="G47" t="s">
        <v>116</v>
      </c>
      <c r="H47" s="13">
        <v>34120</v>
      </c>
      <c r="I47" s="13">
        <v>0</v>
      </c>
      <c r="J47" s="13">
        <v>34120</v>
      </c>
    </row>
    <row r="48" spans="1:10" x14ac:dyDescent="0.25">
      <c r="A48" s="8">
        <v>44939</v>
      </c>
      <c r="B48" s="9">
        <v>44993.25335648148</v>
      </c>
      <c r="C48" t="s">
        <v>65</v>
      </c>
      <c r="D48" t="s">
        <v>67</v>
      </c>
      <c r="E48" t="s">
        <v>14</v>
      </c>
      <c r="F48" t="s">
        <v>62</v>
      </c>
      <c r="G48" t="s">
        <v>115</v>
      </c>
      <c r="H48" s="13">
        <v>2500</v>
      </c>
      <c r="I48" s="13">
        <v>0</v>
      </c>
      <c r="J48" s="13">
        <v>2500</v>
      </c>
    </row>
    <row r="49" spans="1:10" x14ac:dyDescent="0.25">
      <c r="A49" s="8">
        <v>44938</v>
      </c>
      <c r="B49" s="9">
        <v>44993.252395833333</v>
      </c>
      <c r="C49" t="s">
        <v>66</v>
      </c>
      <c r="D49" t="s">
        <v>49</v>
      </c>
      <c r="E49" t="s">
        <v>54</v>
      </c>
      <c r="F49" t="s">
        <v>62</v>
      </c>
      <c r="G49" t="s">
        <v>114</v>
      </c>
      <c r="H49" s="13">
        <v>0</v>
      </c>
      <c r="I49" s="13">
        <v>550000</v>
      </c>
      <c r="J49" s="13">
        <v>550000</v>
      </c>
    </row>
    <row r="50" spans="1:10" x14ac:dyDescent="0.25">
      <c r="A50" s="8">
        <v>44935</v>
      </c>
      <c r="B50" s="9">
        <v>44993.247476851851</v>
      </c>
      <c r="C50" t="s">
        <v>65</v>
      </c>
      <c r="D50" t="s">
        <v>80</v>
      </c>
      <c r="E50" t="s">
        <v>46</v>
      </c>
      <c r="F50" t="s">
        <v>62</v>
      </c>
      <c r="G50" t="s">
        <v>113</v>
      </c>
      <c r="H50" s="13">
        <v>50000</v>
      </c>
      <c r="I50" s="13">
        <v>0</v>
      </c>
      <c r="J50" s="13">
        <v>50000</v>
      </c>
    </row>
    <row r="51" spans="1:10" x14ac:dyDescent="0.25">
      <c r="A51" s="8">
        <v>44934</v>
      </c>
      <c r="B51" s="9">
        <v>44993.247083333335</v>
      </c>
      <c r="C51" t="s">
        <v>66</v>
      </c>
      <c r="D51" t="s">
        <v>79</v>
      </c>
      <c r="E51" t="s">
        <v>59</v>
      </c>
      <c r="F51" t="s">
        <v>62</v>
      </c>
      <c r="G51" t="s">
        <v>113</v>
      </c>
      <c r="H51" s="13">
        <v>0</v>
      </c>
      <c r="I51" s="13">
        <v>50000</v>
      </c>
      <c r="J51" s="13">
        <v>50000</v>
      </c>
    </row>
    <row r="52" spans="1:10" x14ac:dyDescent="0.25">
      <c r="A52" s="8">
        <v>44933</v>
      </c>
      <c r="B52" s="9">
        <v>44965.487256944441</v>
      </c>
      <c r="C52" t="s">
        <v>65</v>
      </c>
      <c r="D52" t="s">
        <v>80</v>
      </c>
      <c r="E52" t="s">
        <v>46</v>
      </c>
      <c r="F52" t="s">
        <v>103</v>
      </c>
      <c r="G52" t="s">
        <v>107</v>
      </c>
      <c r="H52" s="13">
        <v>110000</v>
      </c>
      <c r="I52" s="13">
        <v>0</v>
      </c>
      <c r="J52" s="13">
        <v>110000</v>
      </c>
    </row>
    <row r="53" spans="1:10" x14ac:dyDescent="0.25">
      <c r="A53" s="8">
        <v>44931</v>
      </c>
      <c r="B53" s="9">
        <v>44965.475451388891</v>
      </c>
      <c r="C53" t="s">
        <v>65</v>
      </c>
      <c r="D53" t="s">
        <v>26</v>
      </c>
      <c r="E53" t="s">
        <v>28</v>
      </c>
      <c r="F53" t="s">
        <v>61</v>
      </c>
      <c r="G53" t="s">
        <v>90</v>
      </c>
      <c r="H53" s="13">
        <v>4320</v>
      </c>
      <c r="I53" s="13">
        <v>0</v>
      </c>
      <c r="J53" s="13">
        <v>4320</v>
      </c>
    </row>
    <row r="54" spans="1:10" x14ac:dyDescent="0.25">
      <c r="A54" s="8">
        <v>44931</v>
      </c>
      <c r="B54" s="9">
        <v>44965.476076388892</v>
      </c>
      <c r="C54" t="s">
        <v>65</v>
      </c>
      <c r="D54" t="s">
        <v>26</v>
      </c>
      <c r="E54" t="s">
        <v>28</v>
      </c>
      <c r="F54" t="s">
        <v>61</v>
      </c>
      <c r="G54" t="s">
        <v>91</v>
      </c>
      <c r="H54" s="13">
        <v>14590</v>
      </c>
      <c r="I54" s="13">
        <v>0</v>
      </c>
      <c r="J54" s="13">
        <v>14590</v>
      </c>
    </row>
    <row r="55" spans="1:10" x14ac:dyDescent="0.25">
      <c r="A55" s="8">
        <v>44931</v>
      </c>
      <c r="B55" s="9">
        <v>44965.476770833331</v>
      </c>
      <c r="C55" t="s">
        <v>65</v>
      </c>
      <c r="D55" t="s">
        <v>71</v>
      </c>
      <c r="E55" t="s">
        <v>23</v>
      </c>
      <c r="F55" t="s">
        <v>61</v>
      </c>
      <c r="G55" t="s">
        <v>92</v>
      </c>
      <c r="H55" s="13">
        <v>64400</v>
      </c>
      <c r="I55" s="13">
        <v>0</v>
      </c>
      <c r="J55" s="13">
        <v>64400</v>
      </c>
    </row>
    <row r="56" spans="1:10" x14ac:dyDescent="0.25">
      <c r="A56" s="8">
        <v>44931</v>
      </c>
      <c r="B56" s="9">
        <v>44965.48605324074</v>
      </c>
      <c r="C56" t="s">
        <v>65</v>
      </c>
      <c r="D56" t="s">
        <v>68</v>
      </c>
      <c r="E56" t="s">
        <v>93</v>
      </c>
      <c r="F56" t="s">
        <v>103</v>
      </c>
      <c r="G56" t="s">
        <v>106</v>
      </c>
      <c r="H56" s="13">
        <v>63561</v>
      </c>
      <c r="I56" s="13">
        <v>0</v>
      </c>
      <c r="J56" s="13">
        <v>63561</v>
      </c>
    </row>
    <row r="57" spans="1:10" x14ac:dyDescent="0.25">
      <c r="A57" s="8">
        <v>44931</v>
      </c>
      <c r="B57" s="9">
        <v>44993.245474537034</v>
      </c>
      <c r="C57" t="s">
        <v>66</v>
      </c>
      <c r="D57" t="s">
        <v>79</v>
      </c>
      <c r="E57" t="s">
        <v>59</v>
      </c>
      <c r="F57" t="s">
        <v>62</v>
      </c>
      <c r="G57" t="s">
        <v>111</v>
      </c>
      <c r="H57" s="13">
        <v>0</v>
      </c>
      <c r="I57" s="13">
        <v>10000</v>
      </c>
      <c r="J57" s="13">
        <v>10000</v>
      </c>
    </row>
    <row r="58" spans="1:10" x14ac:dyDescent="0.25">
      <c r="A58" s="8">
        <v>44931</v>
      </c>
      <c r="B58" s="9">
        <v>44993.246099537035</v>
      </c>
      <c r="C58" t="s">
        <v>65</v>
      </c>
      <c r="D58" t="s">
        <v>67</v>
      </c>
      <c r="E58" t="s">
        <v>14</v>
      </c>
      <c r="F58" t="s">
        <v>62</v>
      </c>
      <c r="G58" t="s">
        <v>112</v>
      </c>
      <c r="H58" s="13">
        <v>13000</v>
      </c>
      <c r="I58" s="13">
        <v>0</v>
      </c>
      <c r="J58" s="13">
        <v>13000</v>
      </c>
    </row>
    <row r="59" spans="1:10" x14ac:dyDescent="0.25">
      <c r="B59" s="9"/>
      <c r="H59" s="13"/>
      <c r="I59" s="13"/>
    </row>
    <row r="60" spans="1:10" x14ac:dyDescent="0.25">
      <c r="A60" s="8"/>
      <c r="B60" s="9"/>
      <c r="J60" s="1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B28D9-4B65-4E18-BD2A-70A300E0B226}">
  <sheetPr codeName="Hoja2"/>
  <dimension ref="A1:K25"/>
  <sheetViews>
    <sheetView topLeftCell="A9" workbookViewId="0">
      <selection activeCell="E16" sqref="E16"/>
    </sheetView>
  </sheetViews>
  <sheetFormatPr baseColWidth="10" defaultRowHeight="15" x14ac:dyDescent="0.25"/>
  <cols>
    <col min="1" max="1" width="3" style="3" bestFit="1" customWidth="1"/>
    <col min="2" max="2" width="27" style="3" bestFit="1" customWidth="1"/>
    <col min="3" max="3" width="22.85546875" style="3" bestFit="1" customWidth="1"/>
    <col min="4" max="4" width="17" style="3" bestFit="1" customWidth="1"/>
    <col min="5" max="5" width="16.5703125" style="3" bestFit="1" customWidth="1"/>
    <col min="6" max="6" width="16.28515625" style="3" bestFit="1" customWidth="1"/>
    <col min="7" max="7" width="18.28515625" style="3" bestFit="1" customWidth="1"/>
    <col min="8" max="8" width="15.5703125" style="3" bestFit="1" customWidth="1"/>
    <col min="9" max="9" width="14.85546875" style="3" bestFit="1" customWidth="1"/>
    <col min="10" max="10" width="12.85546875" style="3" bestFit="1" customWidth="1"/>
    <col min="11" max="11" width="16.28515625" style="3" bestFit="1" customWidth="1"/>
    <col min="12" max="12" width="11.42578125" style="3"/>
    <col min="13" max="13" width="24" style="3" bestFit="1" customWidth="1"/>
    <col min="14" max="16384" width="11.42578125" style="3"/>
  </cols>
  <sheetData>
    <row r="1" spans="1:11" ht="15.75" x14ac:dyDescent="0.25">
      <c r="A1" s="1" t="s">
        <v>5</v>
      </c>
      <c r="B1" s="2" t="s">
        <v>104</v>
      </c>
      <c r="C1" s="1"/>
      <c r="D1" s="1"/>
      <c r="E1" s="1"/>
      <c r="F1" s="1"/>
      <c r="G1" s="1"/>
      <c r="H1" s="1"/>
      <c r="I1" s="1"/>
      <c r="J1" s="1"/>
      <c r="K1" s="1"/>
    </row>
    <row r="2" spans="1:11" x14ac:dyDescent="0.25">
      <c r="A2" s="1">
        <v>1</v>
      </c>
      <c r="B2" s="1" t="s">
        <v>65</v>
      </c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1">
        <v>2</v>
      </c>
      <c r="B3" s="1" t="s">
        <v>66</v>
      </c>
      <c r="C3" s="1"/>
      <c r="D3" s="1"/>
      <c r="E3" s="1"/>
      <c r="F3" s="1"/>
      <c r="G3" s="1"/>
      <c r="H3" s="1"/>
      <c r="I3" s="1"/>
      <c r="J3" s="1"/>
      <c r="K3" s="1"/>
    </row>
    <row r="4" spans="1:1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ht="15.75" x14ac:dyDescent="0.25">
      <c r="A5" s="1" t="s">
        <v>5</v>
      </c>
      <c r="B5" s="2" t="s">
        <v>105</v>
      </c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>
        <v>1</v>
      </c>
      <c r="B6" s="1" t="s">
        <v>69</v>
      </c>
      <c r="C6" s="4" t="s">
        <v>95</v>
      </c>
      <c r="D6" s="1" t="s">
        <v>6</v>
      </c>
      <c r="E6" s="1" t="s">
        <v>7</v>
      </c>
      <c r="F6" s="1" t="s">
        <v>8</v>
      </c>
      <c r="G6" s="1" t="s">
        <v>9</v>
      </c>
      <c r="H6" s="1" t="s">
        <v>10</v>
      </c>
      <c r="I6" s="1" t="s">
        <v>11</v>
      </c>
      <c r="J6" s="1" t="s">
        <v>12</v>
      </c>
      <c r="K6" s="1" t="s">
        <v>13</v>
      </c>
    </row>
    <row r="7" spans="1:11" x14ac:dyDescent="0.25">
      <c r="A7" s="1">
        <v>2</v>
      </c>
      <c r="B7" s="1" t="s">
        <v>67</v>
      </c>
      <c r="C7" s="1" t="s">
        <v>14</v>
      </c>
      <c r="D7" s="1" t="s">
        <v>15</v>
      </c>
      <c r="E7" s="1" t="s">
        <v>16</v>
      </c>
      <c r="F7" s="1" t="s">
        <v>17</v>
      </c>
      <c r="G7" s="1" t="s">
        <v>18</v>
      </c>
      <c r="H7" s="1"/>
      <c r="I7" s="1"/>
      <c r="J7" s="1"/>
      <c r="K7" s="1"/>
    </row>
    <row r="8" spans="1:11" x14ac:dyDescent="0.25">
      <c r="A8" s="1">
        <v>3</v>
      </c>
      <c r="B8" s="1" t="s">
        <v>70</v>
      </c>
      <c r="C8" s="1" t="s">
        <v>19</v>
      </c>
      <c r="D8" s="1" t="s">
        <v>96</v>
      </c>
      <c r="E8" s="1" t="s">
        <v>20</v>
      </c>
      <c r="F8" s="1" t="s">
        <v>21</v>
      </c>
      <c r="G8" s="1" t="s">
        <v>22</v>
      </c>
      <c r="H8" s="1"/>
      <c r="I8" s="1"/>
      <c r="J8" s="1"/>
      <c r="K8" s="1"/>
    </row>
    <row r="9" spans="1:11" x14ac:dyDescent="0.25">
      <c r="A9" s="1">
        <v>4</v>
      </c>
      <c r="B9" s="1" t="s">
        <v>71</v>
      </c>
      <c r="C9" s="1" t="s">
        <v>23</v>
      </c>
      <c r="D9" s="1" t="s">
        <v>24</v>
      </c>
      <c r="E9" s="1" t="s">
        <v>25</v>
      </c>
      <c r="F9" s="1" t="s">
        <v>98</v>
      </c>
      <c r="G9" s="1"/>
      <c r="H9" s="1"/>
      <c r="I9" s="1"/>
      <c r="J9" s="1"/>
      <c r="K9" s="1"/>
    </row>
    <row r="10" spans="1:11" x14ac:dyDescent="0.25">
      <c r="A10" s="1">
        <v>5</v>
      </c>
      <c r="B10" s="1" t="s">
        <v>26</v>
      </c>
      <c r="C10" s="1" t="s">
        <v>27</v>
      </c>
      <c r="D10" s="1" t="s">
        <v>28</v>
      </c>
      <c r="E10" s="1" t="s">
        <v>29</v>
      </c>
      <c r="F10" s="1" t="s">
        <v>13</v>
      </c>
      <c r="G10" s="1" t="s">
        <v>12</v>
      </c>
      <c r="H10" s="1" t="s">
        <v>30</v>
      </c>
      <c r="I10" s="1" t="s">
        <v>31</v>
      </c>
      <c r="J10" s="1" t="s">
        <v>32</v>
      </c>
      <c r="K10" s="1" t="s">
        <v>33</v>
      </c>
    </row>
    <row r="11" spans="1:11" x14ac:dyDescent="0.25">
      <c r="A11" s="1">
        <v>6</v>
      </c>
      <c r="B11" s="1" t="s">
        <v>72</v>
      </c>
      <c r="C11" s="1" t="s">
        <v>34</v>
      </c>
      <c r="D11" s="1" t="s">
        <v>97</v>
      </c>
      <c r="E11" s="1" t="s">
        <v>35</v>
      </c>
      <c r="F11" s="1" t="s">
        <v>36</v>
      </c>
      <c r="G11" s="1" t="s">
        <v>99</v>
      </c>
      <c r="H11" s="1"/>
      <c r="I11" s="1"/>
      <c r="J11" s="1"/>
      <c r="K11" s="1"/>
    </row>
    <row r="12" spans="1:11" x14ac:dyDescent="0.25">
      <c r="A12" s="1">
        <v>7</v>
      </c>
      <c r="B12" s="1" t="s">
        <v>68</v>
      </c>
      <c r="C12" s="1" t="s">
        <v>37</v>
      </c>
      <c r="D12" s="1" t="s">
        <v>38</v>
      </c>
      <c r="E12" s="1" t="s">
        <v>39</v>
      </c>
      <c r="F12" s="1" t="s">
        <v>40</v>
      </c>
      <c r="G12" s="1" t="s">
        <v>93</v>
      </c>
      <c r="H12" s="1"/>
      <c r="I12" s="1"/>
      <c r="J12" s="1"/>
      <c r="K12" s="1"/>
    </row>
    <row r="13" spans="1:11" x14ac:dyDescent="0.25">
      <c r="A13" s="1">
        <v>8</v>
      </c>
      <c r="B13" s="1" t="s">
        <v>73</v>
      </c>
      <c r="C13" s="1" t="s">
        <v>41</v>
      </c>
      <c r="D13" s="1" t="s">
        <v>42</v>
      </c>
      <c r="E13" s="1" t="s">
        <v>43</v>
      </c>
      <c r="F13" s="1" t="s">
        <v>44</v>
      </c>
      <c r="G13" s="1"/>
      <c r="H13" s="1"/>
      <c r="I13" s="1"/>
      <c r="J13" s="1"/>
      <c r="K13" s="1"/>
    </row>
    <row r="14" spans="1:11" x14ac:dyDescent="0.25">
      <c r="A14" s="1">
        <v>9</v>
      </c>
      <c r="B14" s="1" t="s">
        <v>45</v>
      </c>
      <c r="C14" s="1" t="s">
        <v>7</v>
      </c>
      <c r="D14" s="1" t="s">
        <v>12</v>
      </c>
      <c r="E14" s="1" t="s">
        <v>13</v>
      </c>
      <c r="F14" s="1"/>
      <c r="G14" s="1"/>
      <c r="H14" s="1"/>
      <c r="I14" s="1"/>
      <c r="J14" s="1"/>
      <c r="K14" s="1"/>
    </row>
    <row r="15" spans="1:11" x14ac:dyDescent="0.25">
      <c r="A15" s="1">
        <v>10</v>
      </c>
      <c r="B15" s="1" t="s">
        <v>80</v>
      </c>
      <c r="C15" s="1" t="s">
        <v>46</v>
      </c>
      <c r="D15" s="1" t="s">
        <v>47</v>
      </c>
      <c r="E15" s="1" t="s">
        <v>48</v>
      </c>
      <c r="F15" s="1"/>
      <c r="G15" s="1"/>
      <c r="H15" s="1"/>
      <c r="I15" s="1"/>
      <c r="J15" s="1"/>
      <c r="K15" s="1"/>
    </row>
    <row r="16" spans="1:11" x14ac:dyDescent="0.25"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ht="15.75" x14ac:dyDescent="0.25">
      <c r="A18" s="1" t="s">
        <v>5</v>
      </c>
      <c r="B18" s="2" t="s">
        <v>102</v>
      </c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>
        <v>1</v>
      </c>
      <c r="B19" s="1" t="s">
        <v>49</v>
      </c>
      <c r="C19" s="1" t="s">
        <v>50</v>
      </c>
      <c r="D19" s="1" t="s">
        <v>51</v>
      </c>
      <c r="E19" s="1" t="s">
        <v>52</v>
      </c>
      <c r="F19" s="1" t="s">
        <v>53</v>
      </c>
      <c r="G19" s="1" t="s">
        <v>54</v>
      </c>
      <c r="H19" s="1" t="s">
        <v>55</v>
      </c>
      <c r="I19" s="1" t="s">
        <v>56</v>
      </c>
      <c r="J19" s="1"/>
      <c r="K19" s="1"/>
    </row>
    <row r="20" spans="1:11" x14ac:dyDescent="0.25">
      <c r="A20" s="1">
        <v>2</v>
      </c>
      <c r="B20" s="1" t="s">
        <v>79</v>
      </c>
      <c r="C20" s="1" t="s">
        <v>57</v>
      </c>
      <c r="D20" s="1" t="s">
        <v>58</v>
      </c>
      <c r="E20" s="1" t="s">
        <v>59</v>
      </c>
    </row>
    <row r="22" spans="1:11" ht="15.75" x14ac:dyDescent="0.25">
      <c r="A22" s="3" t="s">
        <v>5</v>
      </c>
      <c r="B22" s="2" t="s">
        <v>60</v>
      </c>
    </row>
    <row r="23" spans="1:11" x14ac:dyDescent="0.25">
      <c r="A23" s="3">
        <v>1</v>
      </c>
      <c r="B23" s="3" t="s">
        <v>103</v>
      </c>
    </row>
    <row r="24" spans="1:11" x14ac:dyDescent="0.25">
      <c r="A24" s="3">
        <v>2</v>
      </c>
      <c r="B24" s="3" t="s">
        <v>62</v>
      </c>
    </row>
    <row r="25" spans="1:11" x14ac:dyDescent="0.25">
      <c r="A25" s="3">
        <v>3</v>
      </c>
      <c r="B25" s="3" t="s"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18</vt:i4>
      </vt:variant>
    </vt:vector>
  </HeadingPairs>
  <TitlesOfParts>
    <vt:vector size="22" baseType="lpstr">
      <vt:lpstr>Inicio</vt:lpstr>
      <vt:lpstr>Guia</vt:lpstr>
      <vt:lpstr>Registros</vt:lpstr>
      <vt:lpstr>Tablas Auxiliares</vt:lpstr>
      <vt:lpstr>Alimentos</vt:lpstr>
      <vt:lpstr>Atencion_Medica</vt:lpstr>
      <vt:lpstr>Categoria</vt:lpstr>
      <vt:lpstr>Cuidado_personal</vt:lpstr>
      <vt:lpstr>Entidades</vt:lpstr>
      <vt:lpstr>Entretenimiento</vt:lpstr>
      <vt:lpstr>Finca</vt:lpstr>
      <vt:lpstr>Gastos</vt:lpstr>
      <vt:lpstr>Gastos_Varios</vt:lpstr>
      <vt:lpstr>Ingresos</vt:lpstr>
      <vt:lpstr>Obligaciones_Financieras</vt:lpstr>
      <vt:lpstr>Relativos_a_la_casa</vt:lpstr>
      <vt:lpstr>Sueldo</vt:lpstr>
      <vt:lpstr>T_Categoria</vt:lpstr>
      <vt:lpstr>Tipo</vt:lpstr>
      <vt:lpstr>Transporte</vt:lpstr>
      <vt:lpstr>Trasferencias_Gasto</vt:lpstr>
      <vt:lpstr>Trasferencias_Ingreso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Alejandro Montiel Florez</dc:creator>
  <cp:lastModifiedBy>Diego Alejandro Montiel Florez</cp:lastModifiedBy>
  <dcterms:created xsi:type="dcterms:W3CDTF">2023-01-20T17:50:17Z</dcterms:created>
  <dcterms:modified xsi:type="dcterms:W3CDTF">2023-03-08T20:10:22Z</dcterms:modified>
</cp:coreProperties>
</file>